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Zusammenfassung" sheetId="1" r:id="rId4"/>
    <sheet name="Kap. 1, 2, 3" sheetId="2" r:id="rId5"/>
    <sheet name="Modul 1" sheetId="3" r:id="rId6"/>
    <sheet name="Modul 2" sheetId="4" r:id="rId7"/>
    <sheet name="Modul 3" sheetId="5" r:id="rId8"/>
    <sheet name="Modul 4" sheetId="6" r:id="rId9"/>
    <sheet name="Modul 5" sheetId="7" r:id="rId10"/>
    <sheet name="Modul 6" sheetId="8" r:id="rId11"/>
    <sheet name="Kap. 5 Pflegegrad" sheetId="9" r:id="rId12"/>
    <sheet name="Kap. 6, 7, 8, 9" sheetId="10" r:id="rId13"/>
    <sheet name="#" sheetId="11" r:id="rId14"/>
  </sheets>
</workbook>
</file>

<file path=xl/comments1.xml><?xml version="1.0" encoding="utf-8"?>
<comments xmlns="http://schemas.openxmlformats.org/spreadsheetml/2006/main">
  <authors>
    <author>Biemann, Christian A.</author>
  </authors>
  <commentList>
    <comment ref="C10" authorId="0">
      <text>
        <r>
          <rPr>
            <sz val="11"/>
            <color indexed="8"/>
            <rFont val="Helvetica Neue"/>
          </rPr>
          <t>Biemann, Christian A.:
Die Einschätzung richtet sich ausschließlich danach, ob die Person in der Lage ist, ohne personelle Unterstützung eine Körperhaltung einzunehmen/zu wechseln und sich fortzubewegen. Zu beurteilen sind hier lediglich Aspekte wie Körperkraft, Balance, Bewegungskoordination etc. und nicht die zielgerichtete Fortbewegung. Hier werden nicht die Folgen kognitiver Beeinträchtigungen auf Planung, Steuerung und Durchführung motorischer Handlungen abgebildet.</t>
        </r>
      </text>
    </comment>
    <comment ref="D13" authorId="0">
      <text>
        <r>
          <rPr>
            <sz val="11"/>
            <color indexed="8"/>
            <rFont val="Helvetica Neue"/>
          </rPr>
          <t>Biemann, Christian A.:
Einnehmen von verschiedenen Positionen im Bett, Drehen um die Längsachse, Aufrichten aus dem Liegen</t>
        </r>
      </text>
    </comment>
    <comment ref="L13" authorId="0">
      <text>
        <r>
          <rPr>
            <sz val="11"/>
            <color indexed="8"/>
            <rFont val="Helvetica Neue"/>
          </rPr>
          <t>Biemann, Christian A.:
Selbständig ist auch eine Person, die ihre Position unter Nutzung
von Hilfsmitteln (Aufrichthilfe, Bettseitenteil, Strickleiter, elektrisch verstellbares Bett) allein verändern kann.</t>
        </r>
      </text>
    </comment>
    <comment ref="N13" authorId="0">
      <text>
        <r>
          <rPr>
            <sz val="11"/>
            <color indexed="8"/>
            <rFont val="Helvetica Neue"/>
          </rPr>
          <t>Biemann, Christian A.:
Die Person kann beispielsweise nach Anreichen eines Hilfsmittels
oder Reichen der Hand ihre Lage im Bett verändern.</t>
        </r>
      </text>
    </comment>
    <comment ref="P13" authorId="0">
      <text>
        <r>
          <rPr>
            <sz val="11"/>
            <color indexed="8"/>
            <rFont val="Helvetica Neue"/>
          </rPr>
          <t>Biemann, Christian A.:
Die Person kann beim Positionswechsel nur wenig mithelfen,
z. B. auf den Rücken rollen, am Bettgestell festhalten, Aufforderungen folgen wie z. B. „Bitte die Arme vor der Brust verschränken und den Kopf auf die Brust legen.“</t>
        </r>
      </text>
    </comment>
    <comment ref="R13" authorId="0">
      <text>
        <r>
          <rPr>
            <sz val="11"/>
            <color indexed="8"/>
            <rFont val="Helvetica Neue"/>
          </rPr>
          <t>Biemann, Christian A.:
Die Person kann sich beim Positionswechsel nicht oder nur minimal beteiligen.</t>
        </r>
      </text>
    </comment>
    <comment ref="D14" authorId="0">
      <text>
        <r>
          <rPr>
            <sz val="11"/>
            <color indexed="8"/>
            <rFont val="Helvetica Neue"/>
          </rPr>
          <t>Biemann, Christian A.:
Sich auf einem Bett, Stuhl oder Sessel aufrecht halten</t>
        </r>
      </text>
    </comment>
    <comment ref="L14" authorId="0">
      <text>
        <r>
          <rPr>
            <sz val="11"/>
            <color indexed="8"/>
            <rFont val="Helvetica Neue"/>
          </rPr>
          <t>Biemann, Christian A.:
Selbständig ist eine Person auch dann, wenn sie beim Sitzen 
gelegentlich ihre Sitzposition korrigieren muss.</t>
        </r>
      </text>
    </comment>
    <comment ref="N14" authorId="0">
      <text>
        <r>
          <rPr>
            <sz val="11"/>
            <color indexed="8"/>
            <rFont val="Helvetica Neue"/>
          </rPr>
          <t>Biemann, Christian A.:
Die Person kann sich nur kurz, z. B. für die Dauer einer Mahlzeit
oder eines Waschvorgangs, selbständig in der Sitzposition halten, darüber hinaus benötigt sie aber personelle Unterstützung zur Positionskorrektur.</t>
        </r>
      </text>
    </comment>
    <comment ref="P14" authorId="0">
      <text>
        <r>
          <rPr>
            <sz val="11"/>
            <color indexed="8"/>
            <rFont val="Helvetica Neue"/>
          </rPr>
          <t>Biemann, Christian A.:
Die Person kann sich wegen eingeschränkter Rumpfkontrolle auch mit Rücken- und Seitenstütze nicht in aufrechter Position halten und benötigt auch während der Dauer einer Mahlzeit oder eines Waschvorgangs personelle Unterstützung zur Positionskorrektur.</t>
        </r>
      </text>
    </comment>
    <comment ref="R14" authorId="0">
      <text>
        <r>
          <rPr>
            <sz val="11"/>
            <color indexed="8"/>
            <rFont val="Helvetica Neue"/>
          </rPr>
          <t>Biemann, Christian A.:
Die Person kann sich nicht in Sitzposition halten. Bei fehlender Rumpf- und Kopfkontrolle kann die Person nur im Bett oder Lagerungsstuhl liegend gelagert werden.</t>
        </r>
      </text>
    </comment>
    <comment ref="D15" authorId="0">
      <text>
        <r>
          <rPr>
            <sz val="11"/>
            <color indexed="8"/>
            <rFont val="Helvetica Neue"/>
          </rPr>
          <t>Biemann, Christian A.:
Von einer erhöhten Sitzfläche, Bettkante, Stuhl, Sessel, Bank, Toilette etc. aufstehen und sich auf einen Rollstuhl, Toilettenstuhl, Sessel o. Ä. umsetzen</t>
        </r>
      </text>
    </comment>
    <comment ref="L15" authorId="0">
      <text>
        <r>
          <rPr>
            <sz val="11"/>
            <color indexed="8"/>
            <rFont val="Helvetica Neue"/>
          </rPr>
          <t>Biemann, Christian A.:
Selbständig ist jemand auch dann, wenn er keine Personenhilfe
benötigt, aber ein Hilfsmittel oder einen anderen Gegenstand
zum Festhalten oder Hochziehen (z. B. Griffstangen) benutzt oder sich auf Tisch, Armlehnen oder sonstigen Gegenständen abstützen muss, um aufzustehen. Als selbständig ist auch zu bewerten, wer zwar nicht stehen kann, aber sich mit Armkraft ohne personelle Hilfe umsetzen kann (z. B. Bett – Rollstuhl, Rollstuhl – Toilette).</t>
        </r>
      </text>
    </comment>
    <comment ref="N15" authorId="0">
      <text>
        <r>
          <rPr>
            <sz val="11"/>
            <color indexed="8"/>
            <rFont val="Helvetica Neue"/>
          </rPr>
          <t>Biemann, Christian A.:
Die Person kann aus eigener Kraft aufstehen oder sich umsetzen, wenn sie eine Hand oder einen Arm gereicht bekommt.</t>
        </r>
      </text>
    </comment>
    <comment ref="P15" authorId="0">
      <text>
        <r>
          <rPr>
            <sz val="11"/>
            <color indexed="8"/>
            <rFont val="Helvetica Neue"/>
          </rPr>
          <t>Biemann, Christian A.:
Die Pflegeperson muss beim Aufstehen, Umsetzen (erheblichen) Kraftaufwand aufbringen (hochziehen, halten, stützen, heben).
Die beeinträchtigte Person hilft jedoch in geringem Maße mit, kann z. B. kurzzeitig stehen.</t>
        </r>
      </text>
    </comment>
    <comment ref="R15" authorId="0">
      <text>
        <r>
          <rPr>
            <sz val="11"/>
            <color indexed="8"/>
            <rFont val="Helvetica Neue"/>
          </rPr>
          <t>Biemann, Christian A.:
Die Person muss gehoben oder getragen werden, Mithilfe ist nicht möglich.</t>
        </r>
      </text>
    </comment>
    <comment ref="D16" authorId="0">
      <text>
        <r>
          <rPr>
            <sz val="11"/>
            <color indexed="8"/>
            <rFont val="Helvetica Neue"/>
          </rPr>
          <t>Biemann, Christian A.:
Sich innerhalb einer Wohnung oder im Wohnbereich einer Einrichtung zwischen den Zimmern sicher bewegen
Als Anhaltsgröße für übliche Gehstrecken innerhalb einer Wohnung werden mindestens acht Meter festgelegt.
Die Fähigkeiten zur räumlichen Orientierung und zum Treppensteigen sind unter Punkt F 4.2.2 bzw. Punkt F 4.1.5 zu berücksichtigen.</t>
        </r>
      </text>
    </comment>
    <comment ref="L16" authorId="0">
      <text>
        <r>
          <rPr>
            <sz val="11"/>
            <color indexed="8"/>
            <rFont val="Helvetica Neue"/>
          </rPr>
          <t>Biemann, Christian A.:
Die Person kann sich ohne Hilfe durch andere Personen fortbewegen.
Dies kann ggf. unter Nutzung von Hilfsmitteln, z. B. Rollator, Rollstuhl oder sonstigen Gegenständen, z. B. Stock oder Möbelstück, geschehen.</t>
        </r>
      </text>
    </comment>
    <comment ref="N16" authorId="0">
      <text>
        <r>
          <rPr>
            <sz val="11"/>
            <color indexed="8"/>
            <rFont val="Helvetica Neue"/>
          </rPr>
          <t>Biemann, Christian A.:
Die Person kann die Aktivität überwiegend selbständig durchführen.
Personelle Hilfe ist beispielsweise erforderlich im Sinne
von Bereitstellen von Hilfsmitteln (z. B. Rollator oder Gehstock),
Beobachtung aus Sicherheitsgründen oder gelegentlichem Stützen, Unterhaken.</t>
        </r>
      </text>
    </comment>
    <comment ref="P16" authorId="0">
      <text>
        <r>
          <rPr>
            <sz val="11"/>
            <color indexed="8"/>
            <rFont val="Helvetica Neue"/>
          </rPr>
          <t>Biemann, Christian A.:
Die Person kann nur wenige Schritte gehen oder sich mit dem Rollstuhl nur wenige Meter fortbewegen oder kann nur mit Stützung oder Festhalten einer Pflegeperson gehen.
Die ausschließliche Fähigkeit der Fortbewegung durch Krabbeln oder Robben ist generell als „überwiegend unselbständig“ zu bewerten.</t>
        </r>
      </text>
    </comment>
    <comment ref="R16" authorId="0">
      <text>
        <r>
          <rPr>
            <sz val="11"/>
            <color indexed="8"/>
            <rFont val="Helvetica Neue"/>
          </rPr>
          <t>Biemann, Christian A.:
Die Person muss gehoben oder getragen werden, Mithilfe ist nicht möglich.</t>
        </r>
      </text>
    </comment>
    <comment ref="D17" authorId="0">
      <text>
        <r>
          <rPr>
            <sz val="11"/>
            <color indexed="8"/>
            <rFont val="Helvetica Neue"/>
          </rPr>
          <t>Biemann, Christian A.:
Überwinden von Treppen zwischen zwei Etagen
Treppensteigen ist unabhängig von der individuellen Wohnsituation zu bewerten.</t>
        </r>
      </text>
    </comment>
    <comment ref="L17" authorId="0">
      <text>
        <r>
          <rPr>
            <sz val="11"/>
            <color indexed="8"/>
            <rFont val="Helvetica Neue"/>
          </rPr>
          <t>Biemann, Christian A.:
Die Person kann ohne Hilfe durch andere Personen in aufrechter Position eine Treppe steigen.</t>
        </r>
      </text>
    </comment>
    <comment ref="N17" authorId="0">
      <text>
        <r>
          <rPr>
            <sz val="11"/>
            <color indexed="8"/>
            <rFont val="Helvetica Neue"/>
          </rPr>
          <t>Biemann, Christian A.:
Die Person kann eine Treppe alleine steigen, benötigt aber Begleitung wegen eines Sturzrisikos.</t>
        </r>
      </text>
    </comment>
    <comment ref="P17" authorId="0">
      <text>
        <r>
          <rPr>
            <sz val="11"/>
            <color indexed="8"/>
            <rFont val="Helvetica Neue"/>
          </rPr>
          <t>Biemann, Christian A.:
Treppensteigen ist nur mit Stützen oder Festhalten der Person
möglich.</t>
        </r>
      </text>
    </comment>
    <comment ref="R17" authorId="0">
      <text>
        <r>
          <rPr>
            <sz val="11"/>
            <color indexed="8"/>
            <rFont val="Helvetica Neue"/>
          </rPr>
          <t>Biemann, Christian A.:
Person muss getragen oder mit Hilfsmitteln transportiert werden, keine Eigenbeteiligung.</t>
        </r>
      </text>
    </comment>
    <comment ref="D22" authorId="0">
      <text>
        <r>
          <rPr>
            <sz val="11"/>
            <color indexed="8"/>
            <rFont val="Helvetica Neue"/>
          </rPr>
          <t>Biemann, Christian A.:
Gemäß § 15 Abs. 4 SGB XI können Pflegebedürftige mit besonderen Bedarfskonstellationen, die einen spezifischen, außergewöhnlich hohen Hilfebedarf mit besonderen Anforderungen an die pflegerische Versorgung aufweisen, aus pflegefachlichen Gründen dem Pflegegrad 5 zugeordnet werden, auch wenn ihre Gesamtpunkte unter 90 liegen.
In Betracht kommen Pflegebedürftige, die rein nach Punkten den Pflegegrad 5 nicht erreichen würden, dieser aber aufgrund der Schwere der Beeinträchtigung angemessen wäre. Als besondere Bedarfskonstellation ist nur die Gebrauchsunfähigkeit beider Arme und beider Beine festgelegt.
Hintergrund ist, dass die jeweiligen gesundheitlichen Probleme sich einer pflegefachlichen Systematisierung im neuen Begutachtungsinstrument entziehen. Trotz vollständiger Abhängigkeit von personeller Hilfe ist es möglich, dass bei diesem Personenkreis im Bereich der Module 2 und 3 keine und im Bereich des Moduls 6 Beeinträchtigungen nur im geringen Maß vorliegen, so dass die Gesamtpunkte unter 90 liegen.
Vollständiger Verlust der Greif-, Steh- und Gehfunktionen
Das Kriterium der „Gebrauchsunfähigkeit beider Arme und beider Beine“ umfasst nicht zwingend die Bewegungsunfähigkeit der Arme und Beine, die durch Lähmungen aller Extremitäten hervorgerufen werden kann. Ein vollständiger Verlust der Greif-, Steh- und Gehfunktion ist unabhängig von der Ursache zu bewerten. Dies kann z. B. auch bei Menschen im Wachkoma vorkommen oder durch hochgradige Kontrakturen, Versteifungen, hochgradigen Tremor und Rigor oder Athetose bedingt sein.
Eine Gebrauchsunfähigkeit beider Arme und beider Beine liegt auch vor, wenn eine minimale Restbeweglichkeit der Arme noch vorhanden ist, z. B. die Person mit dem Ellenbogen noch den Joystick eines Rollstuhls bedienen kann, oder nur noch unkontrollierbare Greifreflexe bestehen.</t>
        </r>
      </text>
    </comment>
  </commentList>
</comments>
</file>

<file path=xl/comments2.xml><?xml version="1.0" encoding="utf-8"?>
<comments xmlns="http://schemas.openxmlformats.org/spreadsheetml/2006/main">
  <authors>
    <author>Biemann, Christian A.</author>
  </authors>
  <commentList>
    <comment ref="C10" authorId="0">
      <text>
        <r>
          <rPr>
            <sz val="11"/>
            <color indexed="8"/>
            <rFont val="Helvetica Neue"/>
          </rPr>
          <t>Biemann, Christian A.:
Die Einschätzung bezieht sich bei den Merkmalen 4.2.1 bis 4.2.8 ausschließlich auf die kognitiven Funktionen und Aktivitäten. Zu beurteilen sind hier lediglich Aspekte wie Erkennen, Entscheiden oder Steuern etc. und nicht die motorische Umsetzung.
Bei den Kriterien zur Kommunikation 4.2.9 bis 4.2.11 sind auch die Auswirkungen von Hör-, Sprech- oder Sprachstörungen zu berücksichtigen.
Für diesen Bereich gilt eine ähnliche Graduierung wie im Falle der Selbständigkeit (vierstufige Skala). Der Unterschied liegt darin, dass hier keine Aktivität, sondern eine geistige Funktion beurteilt wird. Für die Bewertung ist unerheblich, ob ein zuvor selbständiger Erwachsener eine Fähigkeit verloren hat oder nie ausgebildet hat. Die Bewertungsskala umfasst folgende Ausprägungen:
0 = Fähigkeit vorhanden, unbeeinträchtigt
Die Fähigkeit ist (nahezu) vollständig vorhanden
1 = Fähigkeit größtenteils vorhanden
Die Fähigkeit ist überwiegend (die meiste Zeit über, in den meisten Situationen), aber nicht durchgängig vorhanden. Die Person hat Schwierigkeiten, höhere oder komplexere Anforderungen zu bewältigen.
2 = Fähigkeit in geringem Maße vorhanden
Die Fähigkeit ist stark beeinträchtigt, aber erkennbar vorhanden. Die Person hat häufig oder in vielen Situationen Schwierigkeiten. Sie kann nur geringe Anforderungen bewältigen. Es sind Ressourcen vorhanden.
3 = Fähigkeit nicht vorhanden
Die Fähigkeit ist nicht oder nur in sehr geringem Maße (sehr selten) vorhanden.</t>
        </r>
      </text>
    </comment>
    <comment ref="D13" authorId="0">
      <text>
        <r>
          <rPr>
            <sz val="11"/>
            <color indexed="8"/>
            <rFont val="Helvetica Neue"/>
          </rPr>
          <t>Biemann, Christian A.:
Fähigkeit, Personen aus dem näheren Umfeld wiederzuerkennen, d. h. Menschen, zu denen im Alltag regelmäßig ein direkter Kontakt besteht.
Dazu gehören z. B. Familienmitglieder, Nachbarn, aber auch Pflegekräfte eines ambulanten Dienstes oder einer stationären Pflegeeinrichtung.</t>
        </r>
      </text>
    </comment>
    <comment ref="L13" authorId="0">
      <text>
        <r>
          <rPr>
            <sz val="11"/>
            <color indexed="8"/>
            <rFont val="Helvetica Neue"/>
          </rPr>
          <t>Biemann, Christian A.:
Die Person erkennt andere Personen aus ihrem näheren
Umfeld unmittelbar.</t>
        </r>
      </text>
    </comment>
    <comment ref="N13" authorId="0">
      <text>
        <r>
          <rPr>
            <sz val="11"/>
            <color indexed="8"/>
            <rFont val="Helvetica Neue"/>
          </rPr>
          <t>Biemann, Christian A.:
Die Person erkennt bekannte Personen beispielsweise
erst nach einer längeren Zeit des Kontaktes in einem
Gespräch oder sie hat Schwierigkeiten, wenn auch
nicht täglich, aber doch in regelmäßigen Abständen,
vertraute Personen zu erkennen.</t>
        </r>
      </text>
    </comment>
    <comment ref="P13" authorId="0">
      <text>
        <r>
          <rPr>
            <sz val="11"/>
            <color indexed="8"/>
            <rFont val="Helvetica Neue"/>
          </rPr>
          <t>Biemann, Christian A.:
Die aus dem näheren Umfeld stammenden Personen werden nur selten erkannt oder die Fähigkeit hängt ggf. von der Tagesform ab, d. h. die Fähigkeit unterliegt im Zeitverlauf erheblichen Schwankungen.</t>
        </r>
      </text>
    </comment>
    <comment ref="R13" authorId="0">
      <text>
        <r>
          <rPr>
            <sz val="11"/>
            <color indexed="8"/>
            <rFont val="Helvetica Neue"/>
          </rPr>
          <t>Biemann, Christian A.:
Auch Familienmitglieder werden nicht oder nur ausnahmsweise
erkannt.</t>
        </r>
      </text>
    </comment>
    <comment ref="D14" authorId="0">
      <text>
        <r>
          <rPr>
            <sz val="11"/>
            <color indexed="8"/>
            <rFont val="Helvetica Neue"/>
          </rPr>
          <t>Biemann, Christian A.:
Fähigkeit, sich in der räumlichen Umgebung zurechtzufinden, andere Orte gezielt anzusteuern und zu wissen, wo man sich befindet.</t>
        </r>
      </text>
    </comment>
    <comment ref="L14" authorId="0">
      <text>
        <r>
          <rPr>
            <sz val="11"/>
            <color indexed="8"/>
            <rFont val="Helvetica Neue"/>
          </rPr>
          <t>Biemann, Christian A.:
Die Person weiß, in welcher Stadt, auf welchem Stockwerk
und ggf. in welcher Einrichtung sie sich befindet.
Sie kennt sich in den regelmäßig genutzten Räumlichkeiten
aus.
Ein Verirren in den Räumlichkeiten der eigenen Wohnung
oder unmittelbar im Wohnbereich einer Einrichtung
kommt nicht vor und die Person findet sich auch
in der näheren außerhäuslichen Umgebung zurecht.
Sie weiß beispielsweise, wie sie zu benachbarten Geschäften,
zu einer Bushaltestelle oder zu einer anderen nahe
gelegenen Örtlichkeit gelangt.</t>
        </r>
      </text>
    </comment>
    <comment ref="N14" authorId="0">
      <text>
        <r>
          <rPr>
            <sz val="11"/>
            <color indexed="8"/>
            <rFont val="Helvetica Neue"/>
          </rPr>
          <t>Biemann, Christian A.:
Es bestehen Schwierigkeiten, sich in der außerhäuslichen
Umgebung zu orientieren, beispielsweise nach Verlassendes Hauses wieder den Weg zurückzufinden. In den eigenen Wohnräumen existieren solche Schwierigkeiten hingegen nicht.</t>
        </r>
      </text>
    </comment>
    <comment ref="P14" authorId="0">
      <text>
        <r>
          <rPr>
            <sz val="11"/>
            <color indexed="8"/>
            <rFont val="Helvetica Neue"/>
          </rPr>
          <t>Biemann, Christian A.:
Die Person hat auch in einer gewohnten Wohnumgebung
Schwierigkeiten, sich zurechtzufinden. Regelmäßig genutzte Räumlichkeiten und Wege in der Wohnumgebung werden nicht immer erkannt.</t>
        </r>
      </text>
    </comment>
    <comment ref="R14" authorId="0">
      <text>
        <r>
          <rPr>
            <sz val="11"/>
            <color indexed="8"/>
            <rFont val="Helvetica Neue"/>
          </rPr>
          <t>Biemann, Christian A.:
Selbst in der eigenen Wohnumgebung ist die Person regelmäßig auf Unterstützung angewiesen, um sich zurechtzufinden.</t>
        </r>
      </text>
    </comment>
    <comment ref="D15" authorId="0">
      <text>
        <r>
          <rPr>
            <sz val="11"/>
            <color indexed="8"/>
            <rFont val="Helvetica Neue"/>
          </rPr>
          <t>Biemann, Christian A.:
Fähigkeit, zeitliche Strukturen zu erkennen.
Dazu gehören Uhrzeit, Tagesabschnitte (Vormittag, Nachmittag, Abend etc.), Jahreszeiten und die zeitliche Abfolge des eigenen Lebens. Aufschluss über die Fähigkeit zur zeitlichen Orientierung geben Antworten auf die Frage nach der Jahreszeit, dem Jahr, dem Wochentag, dem Monat oder der Tageszeit.</t>
        </r>
      </text>
    </comment>
    <comment ref="L15" authorId="0">
      <text>
        <r>
          <rPr>
            <sz val="11"/>
            <color indexed="8"/>
            <rFont val="Helvetica Neue"/>
          </rPr>
          <t>Biemann, Christian A.:
Die zeitliche Orientierung ist ohne nennenswerte Beeinträchtigungen
vorhanden.</t>
        </r>
      </text>
    </comment>
    <comment ref="N15" authorId="0">
      <text>
        <r>
          <rPr>
            <sz val="11"/>
            <color indexed="8"/>
            <rFont val="Helvetica Neue"/>
          </rPr>
          <t>Biemann, Christian A.:
Die Person ist die meiste Zeit über zeitlich orientiert, aber nicht durchgängig. Sie hat z. B. Schwierigkeiten, ohne äußere Orientierungshilfen (Uhr, Dunkelheit etc.) den Tagesabschnitt zu bestimmen.</t>
        </r>
      </text>
    </comment>
    <comment ref="P15" authorId="0">
      <text>
        <r>
          <rPr>
            <sz val="11"/>
            <color indexed="8"/>
            <rFont val="Helvetica Neue"/>
          </rPr>
          <t>Biemann, Christian A.:
Die zeitliche Orientierung ist die meiste Zeit nur in Ansätzen vorhanden. Die Person ist auch unter Nutzung äußerer Orientierungshilfen zumeist nicht in der Lage, Tageszeiten zu erkennen, zu denen regelmäßig bestimmte Ereignisse stattfinden (z. B. Mittagessen).</t>
        </r>
      </text>
    </comment>
    <comment ref="R15" authorId="0">
      <text>
        <r>
          <rPr>
            <sz val="11"/>
            <color indexed="8"/>
            <rFont val="Helvetica Neue"/>
          </rPr>
          <t>Biemann, Christian A.:
Das Verständnis für zeitliche Strukturen und Abläufe ist kaum oder nicht vorhanden.</t>
        </r>
      </text>
    </comment>
    <comment ref="D16" authorId="0">
      <text>
        <r>
          <rPr>
            <sz val="11"/>
            <color indexed="8"/>
            <rFont val="Helvetica Neue"/>
          </rPr>
          <t>Biemann, Christian A.:
Fähigkeit, sich an kurz und auch länger zurückliegende Ereignisse oder Beobachtungen zu erinnern.
Dazu gehört, dass die Person z. B. weiß, was sie zum Frühstück gegessen hat oder mit welchen Tätigkeiten sie den Vormittag verbracht hat. Im Hinblick auf das Langzeitgedächtnis geht es bei Erwachsenen z. B. um die Kenntnis des Geburtsjahres, des Geburtsorts oder wichtiger Bestandteile des Lebensverlaufs wie Eheschließung und Berufstätigkeit.</t>
        </r>
      </text>
    </comment>
    <comment ref="L16" authorId="0">
      <text>
        <r>
          <rPr>
            <sz val="11"/>
            <color indexed="8"/>
            <rFont val="Helvetica Neue"/>
          </rPr>
          <t>Biemann, Christian A.:
Die Person kann über kurz zurückliegende Ereignisse
Auskunft geben oder durch Handlungen und Gesten
signalisieren, dass sie sich erinnert.</t>
        </r>
      </text>
    </comment>
    <comment ref="N16" authorId="0">
      <text>
        <r>
          <rPr>
            <sz val="11"/>
            <color indexed="8"/>
            <rFont val="Helvetica Neue"/>
          </rPr>
          <t>Biemann, Christian A.:
Die Person hat Schwierigkeiten, sich an manche kurz
zurückliegende Ereignisse zu erinnern, oder muss hierzu länger nachdenken, sie hat aber keine nennenswerten Probleme, sich an Ereignisse aus der eigenen Lebensgeschichte zu erinnern.</t>
        </r>
      </text>
    </comment>
    <comment ref="P16" authorId="0">
      <text>
        <r>
          <rPr>
            <sz val="11"/>
            <color indexed="8"/>
            <rFont val="Helvetica Neue"/>
          </rPr>
          <t>Biemann, Christian A.:
Die Person vergisst kurz zurückliegende Ereignisse häufig. Nicht alle, aber wichtige Ereignisse aus der eigenen Lebensgeschichte sind (noch) präsent.</t>
        </r>
      </text>
    </comment>
    <comment ref="R16" authorId="0">
      <text>
        <r>
          <rPr>
            <sz val="11"/>
            <color indexed="8"/>
            <rFont val="Helvetica Neue"/>
          </rPr>
          <t>Biemann, Christian A.:
Die Person ist nicht (oder nur selten) in der Lage, sich an Ereignisse, Dinge oder Personen aus der eigenen Lebensgeschichte zu erinnern.</t>
        </r>
      </text>
    </comment>
    <comment ref="D17" authorId="0">
      <text>
        <r>
          <rPr>
            <sz val="11"/>
            <color indexed="8"/>
            <rFont val="Helvetica Neue"/>
          </rPr>
          <t>Biemann, Christian A.:
Fähigkeit, zielgerichtete Handlungen des Lebensalltags, die eine Abfolge von Teilschritten umfassen, zu steuern.
Die Betonung liegt in diesem Fall auf dem Begriff Alltagshandlungen. Gemeint sind zielgerichtete Handlungen, die diese Person täglich oder nahezu täglich im Lebensalltag durchführt oder durchgeführt hat, wie z. B. das komplette Ankleiden, Kaffeekochen oder Tischdecken.</t>
        </r>
      </text>
    </comment>
    <comment ref="L17" authorId="0">
      <text>
        <r>
          <rPr>
            <sz val="11"/>
            <color indexed="8"/>
            <rFont val="Helvetica Neue"/>
          </rPr>
          <t>Biemann, Christian A.:
Die Person ist in der Lage, die erforderlichen Handlungsschritte
selbständig in der richtigen Reihenfolge
auszuführen oder zu steuern, so dass das angestrebte
Ergebnis der Handlung erreicht wird.</t>
        </r>
      </text>
    </comment>
    <comment ref="N17" authorId="0">
      <text>
        <r>
          <rPr>
            <sz val="11"/>
            <color indexed="8"/>
            <rFont val="Helvetica Neue"/>
          </rPr>
          <t>Biemann, Christian A.:
Die Person verliert manchmal den Faden und vergisst, welcher Handlungsschritt der nächste ist. Erhält sie dabei eine Erinnerungshilfe, kann sie die Handlung aber selbständig fortsetzen.</t>
        </r>
      </text>
    </comment>
    <comment ref="P17" authorId="0">
      <text>
        <r>
          <rPr>
            <sz val="11"/>
            <color indexed="8"/>
            <rFont val="Helvetica Neue"/>
          </rPr>
          <t>Biemann, Christian A.:
Die Person hat erhebliche Schwierigkeiten. Sie verwechselt regelmäßig die Reihenfolge der einzelnen Handlungsschritte oder vergisst einzelne, notwendige Handlungsschritte.</t>
        </r>
      </text>
    </comment>
    <comment ref="R17" authorId="0">
      <text>
        <r>
          <rPr>
            <sz val="11"/>
            <color indexed="8"/>
            <rFont val="Helvetica Neue"/>
          </rPr>
          <t>Biemann, Christian A.:
Mehrschrittige Alltagshandlungen werden erst gar nicht begonnen oder nach den ersten Versuchen aufgegeben.</t>
        </r>
      </text>
    </comment>
    <comment ref="D18" authorId="0">
      <text>
        <r>
          <rPr>
            <sz val="11"/>
            <color indexed="8"/>
            <rFont val="Helvetica Neue"/>
          </rPr>
          <t>Biemann, Christian A.:
Fähigkeit, folgerichtige und geeignete Entscheidungen im Alltag zu treffen.
Dazu gehört z. B. die dem Wetter angepasste Auswahl von Kleidung, die Entscheidung über die Durchführung von Aktivitäten wie Einkaufen, Familienangehörige oder Freunde anrufen, einer Freizeitbeschäftigung nachgehen.
Zu klären ist hier die Frage, ob die Entscheidungen folgerichtig sind, d. h. geeignet sind, das angestrebte Ziel zu erreichen oder ein gewisses Maß an Sicherheit und Wohlbefinden oder Bedürfnisbefriedigung zu gewährleisten, z. B. warme Kleidung.</t>
        </r>
      </text>
    </comment>
    <comment ref="L18" authorId="0">
      <text>
        <r>
          <rPr>
            <sz val="11"/>
            <color indexed="8"/>
            <rFont val="Helvetica Neue"/>
          </rPr>
          <t>Biemann, Christian A.:
Die Person kann auch in unbekannten Situationen
folgerichtige Entscheidungen treffen, beispielsweise
beim Umgang mit unbekannten Personen, die an der
Haustür klingeln.</t>
        </r>
      </text>
    </comment>
    <comment ref="N18" authorId="0">
      <text>
        <r>
          <rPr>
            <sz val="11"/>
            <color indexed="8"/>
            <rFont val="Helvetica Neue"/>
          </rPr>
          <t>Biemann, Christian A.:
Im Rahmen der Alltagsroutinen oder in zuvor besprochenen
Situationen können Entscheidungen getroffen werden, die Person hat aber Schwierigkeiten in unbekannten Situationen.</t>
        </r>
      </text>
    </comment>
    <comment ref="P18" authorId="0">
      <text>
        <r>
          <rPr>
            <sz val="11"/>
            <color indexed="8"/>
            <rFont val="Helvetica Neue"/>
          </rPr>
          <t>Biemann, Christian A.:
Die Person trifft zwar Entscheidungen, diese Entscheidungen sind jedoch in der Regel nicht geeignet, ein bestimmtes Ziel zu erreichen. Dies ist beispielsweise der Fall, wenn die Person mit nur leichter Bekleidung bei winterlichen Temperaturen im Freien spazieren gehen will. Weiterhin liegt eine schwere Beeinträchtigung vor, wenn die Person nur mit Unterstützung in Form von Anleitung, Aufforderung, Aufzeigen von Handlungsalternativen in der Lage ist, Entscheidungen zu treffen.</t>
        </r>
      </text>
    </comment>
    <comment ref="R18" authorId="0">
      <text>
        <r>
          <rPr>
            <sz val="11"/>
            <color indexed="8"/>
            <rFont val="Helvetica Neue"/>
          </rPr>
          <t>Biemann, Christian A.:
Die Person kann Entscheidungen auch mit Unterstützung nicht mehr oder nur selten treffen. Sie zeigt keine deutbare Reaktion auf das Angebot mehrerer Entscheidungsalternativen.</t>
        </r>
      </text>
    </comment>
    <comment ref="D19" authorId="0">
      <text>
        <r>
          <rPr>
            <sz val="11"/>
            <color indexed="8"/>
            <rFont val="Helvetica Neue"/>
          </rPr>
          <t>Biemann, Christian A.:
Fähigkeit, Sachverhalte zu verstehen und Informationen inhaltlich einordnen zu können
Hier geht es um Ereignisse und Inhalte, die Bestandteil des Alltagslebens der meisten Menschen sind. Gemeint ist etwa die Fähigkeit, zu erkennen, dass man sich in einer bestimmten Situation befindet, z. B. gemeinschaftliche Aktivitäten mit anderen Menschen, Versorgung durch eine Pflegekraft, MDK-Begutachtung sowie die Fähigkeit, Informationen zum Tagesgeschehen aus den Medien, z. B. Fernsehgerät, Tageszeitung, aufzunehmen und inhaltlich zu verstehen. Gleiches gilt für mündlich von anderen Personen übermittelte Informationen.</t>
        </r>
      </text>
    </comment>
    <comment ref="L19" authorId="0">
      <text>
        <r>
          <rPr>
            <sz val="11"/>
            <color indexed="8"/>
            <rFont val="Helvetica Neue"/>
          </rPr>
          <t>Biemann, Christian A.:
Die Person kann Sachverhalte und Informationen aus
dem Alltagsleben ohne nennenswerte Probleme verstehen.</t>
        </r>
      </text>
    </comment>
    <comment ref="N19" authorId="0">
      <text>
        <r>
          <rPr>
            <sz val="11"/>
            <color indexed="8"/>
            <rFont val="Helvetica Neue"/>
          </rPr>
          <t>Biemann, Christian A.:
Die Person kann auch einfache Informationen häufig nur nachvollziehen, wenn sie wiederholt erklärt werden. Eine schwere Beeinträchtigung liegt auch dann vor, wenn das Verständnis sehr stark von der Tagesform abhängt.</t>
        </r>
      </text>
    </comment>
    <comment ref="P19" authorId="0">
      <text>
        <r>
          <rPr>
            <sz val="11"/>
            <color indexed="8"/>
            <rFont val="Helvetica Neue"/>
          </rPr>
          <t>Biemann, Christian A.:
Die Person kann auch einfache Informationen häufig nur nachvollziehen, wenn sie wiederholt erklärt werden. Eine schwere Beeinträchtigung liegt auch dann vor, wenn das Verständnis sehr stark von der Tagesform abhängt.</t>
        </r>
      </text>
    </comment>
    <comment ref="R19" authorId="0">
      <text>
        <r>
          <rPr>
            <sz val="11"/>
            <color indexed="8"/>
            <rFont val="Helvetica Neue"/>
          </rPr>
          <t>Biemann, Christian A.:
Die Person gibt weder verbal noch nonverbal zu erkennen,
dass sie Situationen und übermittelte Informationen verstehen kann.</t>
        </r>
      </text>
    </comment>
    <comment ref="D20" authorId="0">
      <text>
        <r>
          <rPr>
            <sz val="11"/>
            <color indexed="8"/>
            <rFont val="Helvetica Neue"/>
          </rPr>
          <t>Biemann, Christian A.:
Fähigkeit, Risiken und Gefahren zu erkennen.
Dazu gehören Gefahren wie Strom- und Feuerquellen, Barrieren und Hindernisse auf dem Fußboden bzw. auf Fußwegen, eine problematische Beschaffenheit des Bodens (z. B. Glätte) oder
Gefahrenzonen in der außerhäuslichen Umgebung (z. B. verkehrsreiche Straßen, Baustellen).</t>
        </r>
      </text>
    </comment>
    <comment ref="L20" authorId="0">
      <text>
        <r>
          <rPr>
            <sz val="11"/>
            <color indexed="8"/>
            <rFont val="Helvetica Neue"/>
          </rPr>
          <t>Biemann, Christian A.:
Die Person kann solche Risiken und Gefahrenquellen
im Alltagsleben ohne weiteres erkennen, auch wenn
sie ihnen aus anderen Gründen (z. B. aufgrund von
somatischen Beeinträchtigungen) nicht aus dem Weg
gehen kann.</t>
        </r>
      </text>
    </comment>
    <comment ref="N20" authorId="0">
      <text>
        <r>
          <rPr>
            <sz val="11"/>
            <color indexed="8"/>
            <rFont val="Helvetica Neue"/>
          </rPr>
          <t>Biemann, Christian A.:
Die Person erkennt meist nur solche Risiken und Gefahren,
die sich in der vertrauten innerhäuslichen Wohnumgebung
wiederfinden. Es bestehen aber beispielsweise Schwierigkeiten, Risiken im Straßenverkehr angemessen einzuschätzen oder Gefährdungen in ungewohnter Umgebung zu erkennen.</t>
        </r>
      </text>
    </comment>
    <comment ref="P20" authorId="0">
      <text>
        <r>
          <rPr>
            <sz val="11"/>
            <color indexed="8"/>
            <rFont val="Helvetica Neue"/>
          </rPr>
          <t>Biemann, Christian A.:
Die Person kann auch Risiken und Gefahren, denen sie häufig auch in der Wohnumgebung begegnet, oft nicht als solche erkennen.</t>
        </r>
      </text>
    </comment>
    <comment ref="R20" authorId="0">
      <text>
        <r>
          <rPr>
            <sz val="11"/>
            <color indexed="8"/>
            <rFont val="Helvetica Neue"/>
          </rPr>
          <t>Biemann, Christian A.:
Die Person kann Risiken und Gefahren so gut wie gar nicht erkennen.</t>
        </r>
      </text>
    </comment>
    <comment ref="D21" authorId="0">
      <text>
        <r>
          <rPr>
            <sz val="11"/>
            <color indexed="8"/>
            <rFont val="Helvetica Neue"/>
          </rPr>
          <t>Biemann, Christian A.:
Fähigkeit, elementare Bedürfnisse verbal oder nonverbal mitzuteilen.
Das beinhaltet, sich bei Hunger oder Durst, Schmerzen oder Frieren bemerkbar zu machen. Bei Sprachstörungen kann dies ggf. durch Laute, Mimik oder Gestik bzw. unter Nutzung von Hilfsmitteln erfolgen.</t>
        </r>
      </text>
    </comment>
    <comment ref="L21" authorId="0">
      <text>
        <r>
          <rPr>
            <sz val="11"/>
            <color indexed="8"/>
            <rFont val="Helvetica Neue"/>
          </rPr>
          <t>Biemann, Christian A.:
Die Person kann Bedürfnisse äußern.</t>
        </r>
      </text>
    </comment>
    <comment ref="N21" authorId="0">
      <text>
        <r>
          <rPr>
            <sz val="11"/>
            <color indexed="8"/>
            <rFont val="Helvetica Neue"/>
          </rPr>
          <t>Biemann, Christian A.:
Die Person kann auf Nachfrage elementare Bedürfnisse
äußern. Die Person äußert Bedürfnisse aber nicht immer von sich aus.</t>
        </r>
      </text>
    </comment>
    <comment ref="P21" authorId="0">
      <text>
        <r>
          <rPr>
            <sz val="11"/>
            <color indexed="8"/>
            <rFont val="Helvetica Neue"/>
          </rPr>
          <t>Biemann, Christian A.:
Elementare Bedürfnisse sind nur aus nonverbalen Reaktionen (Mimik, Gestik, Lautäußerungen) ableitbar, ggf. nach oder durch entsprechende(r) Stimulation; oder die Person äußert von sich aus keine elementaren Bedürfnisse, muss dazu ständig angeleitet werden, kann aber Zustimmung oder Ablehnung deutlich machen.</t>
        </r>
      </text>
    </comment>
    <comment ref="R21" authorId="0">
      <text>
        <r>
          <rPr>
            <sz val="11"/>
            <color indexed="8"/>
            <rFont val="Helvetica Neue"/>
          </rPr>
          <t>Biemann, Christian A.:
Die Person äußert nicht oder nur sehr selten Bedürfnisse, auch nicht in nonverbaler Form. Sie kann weder Zustimmung noch Ablehnung deutlich machen.</t>
        </r>
      </text>
    </comment>
    <comment ref="D22" authorId="0">
      <text>
        <r>
          <rPr>
            <sz val="11"/>
            <color indexed="8"/>
            <rFont val="Helvetica Neue"/>
          </rPr>
          <t>Biemann, Christian A.:
Fähigkeit, Aufforderungen in Hinblick auf alltägliche Grundbedürfnisse zu verstehen.
Zu den alltäglichen Grundbedürfnissen gehören z. B. Essen, Trinken, sich kleiden, sich beschäftigen.</t>
        </r>
      </text>
    </comment>
    <comment ref="L22" authorId="0">
      <text>
        <r>
          <rPr>
            <sz val="11"/>
            <color indexed="8"/>
            <rFont val="Helvetica Neue"/>
          </rPr>
          <t>Biemann, Christian A.:
Aufforderungen und Bitten zu alltäglichen Grundbedürfnissen
werden ohne weiteres verstanden.</t>
        </r>
      </text>
    </comment>
    <comment ref="N22" authorId="0">
      <text>
        <r>
          <rPr>
            <sz val="11"/>
            <color indexed="8"/>
            <rFont val="Helvetica Neue"/>
          </rPr>
          <t>Biemann, Christian A.:
Einfache Bitten und Aufforderungen, wie z. B. „Setz dich bitte an den Tisch!“, „Zieh dir die Jacke über!“, „Komm zum Essen!“, „Prosit!“ werden verstanden, Aufforderungen in nicht alltäglichen Situationen müssen erklärt werden.
Ggf. sind besonders deutliche Ansprache, Wiederholungen,
Zeichensprache, Gebärdensprache oder Schrift erforderlich, um Aufforderungen verständlich zu machen.</t>
        </r>
      </text>
    </comment>
    <comment ref="P22" authorId="0">
      <text>
        <r>
          <rPr>
            <sz val="11"/>
            <color indexed="8"/>
            <rFont val="Helvetica Neue"/>
          </rPr>
          <t>Biemann, Christian A.:
Die Person kann Aufforderungen und Bitten meist nicht verstehen, wenn diese nicht wiederholt geäußert und erläutert werden. Das Verständnis ist sehr von der Tagesform abhängig. Sie zeigt aber Zustimmung oder Ablehnung gegenüber nonverbalen Aufforderungen, z. B. Berührungen oder Geleiten an den Esstisch.</t>
        </r>
      </text>
    </comment>
    <comment ref="R22" authorId="0">
      <text>
        <r>
          <rPr>
            <sz val="11"/>
            <color indexed="8"/>
            <rFont val="Helvetica Neue"/>
          </rPr>
          <t>Biemann, Christian A.:
Die Person kann Anleitungen und Aufforderungen kaum oder nicht verstehen.</t>
        </r>
      </text>
    </comment>
    <comment ref="D23" authorId="0">
      <text>
        <r>
          <rPr>
            <sz val="11"/>
            <color indexed="8"/>
            <rFont val="Helvetica Neue"/>
          </rPr>
          <t>Biemann, Christian A.:
Fähigkeit, in einem Gespräch Gesprächsinhalte aufzunehmen, sinngerecht zu antworten und zur Weiterführung des Gesprächs Inhalte einzubringen.</t>
        </r>
      </text>
    </comment>
    <comment ref="L23" authorId="0">
      <text>
        <r>
          <rPr>
            <sz val="11"/>
            <color indexed="8"/>
            <rFont val="Helvetica Neue"/>
          </rPr>
          <t>Biemann, Christian A.:
Die Person kommt sowohl in Einzel- als auch in Gesprächen
kleiner Gruppen gut zurecht. Sie zeigt im Gespräch
Eigeninitiative, Interesse und beteiligt sich, wenn vielleicht
auch nur auf direkte Ansprache hin. Ihre Äußerungen
passen zu den Inhalten des Gesprächs.</t>
        </r>
      </text>
    </comment>
    <comment ref="N23" authorId="0">
      <text>
        <r>
          <rPr>
            <sz val="11"/>
            <color indexed="8"/>
            <rFont val="Helvetica Neue"/>
          </rPr>
          <t>Biemann, Christian A.:
Die Person kommt in Gesprächen mit einer Person gut zurecht, in Gruppen ist sie jedoch meist überfordert und verliert den Faden. Wortfindungsstörungen treten ggf. regelmäßig auf. Die Person ist häufig auf besonders deutliche Ansprache oder Wiederholung von Worten, Sätzen angewiesen.</t>
        </r>
      </text>
    </comment>
    <comment ref="P23" authorId="0">
      <text>
        <r>
          <rPr>
            <sz val="11"/>
            <color indexed="8"/>
            <rFont val="Helvetica Neue"/>
          </rPr>
          <t>Biemann, Christian A.:
Die Person kann auch einem Gespräch nur mit einer Person kaum folgen oder sie kann sich nur wenig oder mit einzelnen Worten beteiligen.
Die Person zeigt nur wenig Eigeninitiative, reagiert aber auf Ansprache oder Fragen mit wenigen Worten, z. B. mit ja oder nein; die Person beteiligt sich am Gespräch, weicht aber in aller Regel vom Gesprächsinhalt ab (führt mehr ein Selbstgespräch) oder es besteht leichte Ablenkbarkeit durch Umgebungseinflüsse.</t>
        </r>
      </text>
    </comment>
    <comment ref="R23" authorId="0">
      <text>
        <r>
          <rPr>
            <sz val="11"/>
            <color indexed="8"/>
            <rFont val="Helvetica Neue"/>
          </rPr>
          <t>Biemann, Christian A.:
Ein Gespräch mit der Person, das über einfache Mitteilungen
hinausgeht, ist auch unter Einsatz nonverbaler Kommunikation kaum oder nicht möglich.</t>
        </r>
      </text>
    </comment>
  </commentList>
</comments>
</file>

<file path=xl/comments3.xml><?xml version="1.0" encoding="utf-8"?>
<comments xmlns="http://schemas.openxmlformats.org/spreadsheetml/2006/main">
  <authors>
    <author>Biemann, Christian A.</author>
  </authors>
  <commentList>
    <comment ref="C10" authorId="0">
      <text>
        <r>
          <rPr>
            <sz val="11"/>
            <color indexed="8"/>
            <rFont val="Helvetica Neue"/>
          </rPr>
          <t>Biemann, Christian A.:
In diesem Modul geht es um Verhaltensweisen und psychische Problemlagen als Folge von Gesundheitsproblemen, die immer wieder auftreten und personelle Unterstützung erforderlich machen. Es geht hier um Unterstützung des pflegebedürftigen Menschen
– bei der Bewältigung von belastenden Emotionen (wie z. B. Panikattacken),
– beim Abbau psychischer Spannungen,
– bei der Impulssteuerung,
– bei der Förderung positiver Emotionen durch Ansprache oder körperliche Berührung,
– bei der Vermeidung von Gefährdungen im Lebensalltag,
– bei Tendenz zu selbstschädigendem Verhalten.
Im Mittelpunkt dieses Moduls steht die Frage, inwieweit die Person ihr Verhalten ohne personelle Unterstützung steuern kann. Von fehlender Selbststeuerung ist auch dann auszugehen, wenn ein Verhalten zwar nach Aufforderung
 abgestellt wird, aber danach immer wieder aufs Neue auftritt, weil das Verbot nicht verstanden wird oder die Person sich nicht erinnern kann.
Abzugrenzen sind hier gezielte herausfordernde Verhaltensweisen, z. B. im Rahmen von Beziehungsproblemen, die nicht zu berücksichtigen sind.
Anders als in den übrigen Modulen sind die Kriterien nicht abschließend definiert, sondern beispielhaft erläutert. Manche Verhaltensweisen lassen sich nicht eindeutig nur einem Kriterium
zuordnen, z. B. Beschimpfungen zu verbaler Aggression (F 4.3.6) oder zu anderen pflegerelevanten vokalen Auffälligkeiten (F 4.3.7), oder treten in Kombination auf. Ausschlaggebend ist, ob und wie oft die Verhaltensweisen eine personelle Unterstützung notwendig machen. Bei Kombination verschiedener Verhaltensweisen wird die Häufigkeit von Ereignissen mit personellem Unterstützungsbedarf nur einmal erfasst, z. B. wird nächtliche Unruhe bei Angstzuständen entweder unter Punkt F 4. 3.2 oder unter Punkt F 4.3.10 bewertet.
Es werden folgende Häufigkeiten erfasst:
0 = nie oder sehr selten
1 = selten, d.h. ein- bis dreimal innerhalb von zwei Wochen
3 = häufig, d.h. zweimal bis mehrmals wöchentlich, aber nicht täglich
5 = täglich</t>
        </r>
      </text>
    </comment>
    <comment ref="D13" authorId="0">
      <text>
        <r>
          <rPr>
            <sz val="11"/>
            <color indexed="8"/>
            <rFont val="Helvetica Neue"/>
          </rPr>
          <t>Biemann, Christian A.:
Dieses Kriterium fasst verschiedene Verhaltensweisen zusammen. Dazu gehören vor allem das (scheinbar) ziellose Umhergehen in der Wohnung oder der Einrichtung und der Versuch desorientierter Personen, ohne Begleitung die Wohnung, Einrichtung zu verlassen oder Orte aufzusuchen, die für diese Person unzugänglich sein sollten, z. B. Treppenhaus, Zimmer anderer Bewohner.
Ebenso zu berücksichtigen ist allgemeine Rastlosigkeit in Form von ständigem Aufstehen und Hinsetzen oder Hin- und Herrutschen auf dem Sitzplatz oder im und aus dem Bett.</t>
        </r>
      </text>
    </comment>
    <comment ref="D14" authorId="0">
      <text>
        <r>
          <rPr>
            <sz val="11"/>
            <color indexed="8"/>
            <rFont val="Helvetica Neue"/>
          </rPr>
          <t>Biemann, Christian A.:
Gemeint sind hier nächtliches Umherirren oder nächtliche Unruhephasen bis hin zur Umkehr des Tag-Nacht-Rhythmus im Sinne von aktiv sein in der Nacht und schlafen während des Tages.
Zu bewerten ist, wie häufig Anlass für personelle Unterstützung zur Steuerung des Schlaf-Wach-Rhythmus besteht, z. B. wieder ins Bett bringen und beruhigen. Schlafstörungen wie Einschlafschwierigkeiten am Abend oder Wachphasen während der Nacht sind nicht zu werten. Andere nächtliche Hilfen, z. B. Aufstehen, zu Bett bringen bei Nykturie oder Lagerungen sind nur unter F 4.6.2. zu werten.</t>
        </r>
      </text>
    </comment>
    <comment ref="D15" authorId="0">
      <text>
        <r>
          <rPr>
            <sz val="11"/>
            <color indexed="8"/>
            <rFont val="Helvetica Neue"/>
          </rPr>
          <t>Biemann, Christian A.:
Selbstschädigendes und autoaggressives Verhalten kann z. B. darin bestehen, sich selbst durch Gegenstände zu verletzen, ungenießbare Substanzen zu essen und zu trinken, sich selbst zu schlagen und sich selbst mit den Fingernägeln oder Zähnen zu verletzen.</t>
        </r>
      </text>
    </comment>
    <comment ref="D16" authorId="0">
      <text>
        <r>
          <rPr>
            <sz val="11"/>
            <color indexed="8"/>
            <rFont val="Helvetica Neue"/>
          </rPr>
          <t>Biemann, Christian A.:
Gemeint sind hier aggressive auf Gegenstände gerichtete Handlungen wie Gegenstände wegstoßen oder wegschieben, gegen Gegenstände schlagen, das Zerstören von Dingen sowie das Treten nach Gegenständen.</t>
        </r>
      </text>
    </comment>
    <comment ref="D17" authorId="0">
      <text>
        <r>
          <rPr>
            <sz val="11"/>
            <color indexed="8"/>
            <rFont val="Helvetica Neue"/>
          </rPr>
          <t>Biemann, Christian A.:
Physisch aggressives Verhalten gegenüber anderen Personen kann z. B. darin bestehen, nach Personen zu schlagen oder zu treten, andere mit Zähnen oder Fingernägeln zu verletzen, andere zu stoßen oder wegzudrängen, oder in Verletzungsversuchen gegenüber anderen Personen mit Gegenständen.</t>
        </r>
      </text>
    </comment>
    <comment ref="D18" authorId="0">
      <text>
        <r>
          <rPr>
            <sz val="11"/>
            <color indexed="8"/>
            <rFont val="Helvetica Neue"/>
          </rPr>
          <t>Biemann, Christian A.:
Verbale Aggression kann sich z. B. in verbalen Beschimpfungen oder in der Bedrohung anderer Personen ausdrücken.</t>
        </r>
      </text>
    </comment>
    <comment ref="D19" authorId="0">
      <text>
        <r>
          <rPr>
            <sz val="11"/>
            <color indexed="8"/>
            <rFont val="Helvetica Neue"/>
          </rPr>
          <t>Biemann, Christian A.:
Andere pflegerelevante vokale Auffälligkeiten können sein: Lautes Rufen, Schreien, Klagen ohne nachvollziehbaren Grund, vor sich hin schimpfen, fluchen, seltsame Laute von sich geben,
ständiges Wiederholen von Sätzen und Fragen.</t>
        </r>
      </text>
    </comment>
    <comment ref="D20" authorId="0">
      <text>
        <r>
          <rPr>
            <sz val="11"/>
            <color indexed="8"/>
            <rFont val="Helvetica Neue"/>
          </rPr>
          <t>Biemann, Christian A.:
Hier ist die Abwehr von Unterstützung, z. B. bei der Körperpflege, die Verweigerung der Nahrungsaufnahme, der Medikamenteneinnahme oder anderer notwendiger Verrichtungen sowie die Manipulation an Vorrichtungen wie z. B. an Kathetern, Infusionen oder Sondenernährung gemeint. Dazu gehört nicht die willentliche (selbstbestimmte) Ablehnung bestimmter Maßnahmen.</t>
        </r>
      </text>
    </comment>
    <comment ref="D21" authorId="0">
      <text>
        <r>
          <rPr>
            <sz val="11"/>
            <color indexed="8"/>
            <rFont val="Helvetica Neue"/>
          </rPr>
          <t>Biemann, Christian A.:
Wahnvorstellungen beziehen sich z. B. auf die Vorstellung, mit Verstorbenen oder imaginären Personen in Kontakt zu stehen, oder auf die Vorstellung, verfolgt, bedroht oder bestohlen zu
werden.</t>
        </r>
      </text>
    </comment>
    <comment ref="D22" authorId="0">
      <text>
        <r>
          <rPr>
            <sz val="11"/>
            <color indexed="8"/>
            <rFont val="Helvetica Neue"/>
          </rPr>
          <t>Biemann, Christian A.:
Die Person hat starke Ängste oder Sorgen, sie erlebt Angstattacken unabhängig von der Ursache.</t>
        </r>
      </text>
    </comment>
    <comment ref="D23" authorId="0">
      <text>
        <r>
          <rPr>
            <sz val="11"/>
            <color indexed="8"/>
            <rFont val="Helvetica Neue"/>
          </rPr>
          <t>Biemann, Christian A.:
Antriebslosigkeit bei depressiver Stimmungslage zeigt sich z. B. daran, dass die Person kaum Interesse an der Umgebung hat, kaum Eigeninitiative aufbringt und Motivierung durch andere
benötigt, um etwas zu tun. Sie wirkt traurig oder apathisch, möchte am liebsten das Bett nicht verlassen. Hier ist nicht gemeint, dass Menschen mit rein kognitiven Beeinträchtigungen, z. B. bei Demenz, Impulse benötigen, um eine Handlung zu beginnen oder fortzuführen.</t>
        </r>
      </text>
    </comment>
    <comment ref="D24" authorId="0">
      <text>
        <r>
          <rPr>
            <sz val="11"/>
            <color indexed="8"/>
            <rFont val="Helvetica Neue"/>
          </rPr>
          <t>Biemann, Christian A.:
Sozial inadäquate Verhaltensweisen sind z. B. distanzloses Verhalten, auffälliges Einfordern von Aufmerksamkeit, sich vor anderen in unpassenden Situationen auszukleiden, unangemessenes Greifen nach Personen oder unangemessene körperliche oder verbale sexuelle Annäherungsversuche.</t>
        </r>
      </text>
    </comment>
    <comment ref="D25" authorId="0">
      <text>
        <r>
          <rPr>
            <sz val="11"/>
            <color indexed="8"/>
            <rFont val="Helvetica Neue"/>
          </rPr>
          <t>Biemann, Christian A.:
Sonstige pflegerelevante inadäquate Handlungen sind z. B. Nesteln an der Kleidung, ständiges Wiederholen der gleichen Handlung (Stereotypien), planlose Aktivitäten, Verstecken oder Horten von Gegenständen, Kotschmieren, Urinieren in die Wohnung.</t>
        </r>
      </text>
    </comment>
  </commentList>
</comments>
</file>

<file path=xl/comments4.xml><?xml version="1.0" encoding="utf-8"?>
<comments xmlns="http://schemas.openxmlformats.org/spreadsheetml/2006/main">
  <authors>
    <author>Biemann, Christian A.</author>
  </authors>
  <commentList>
    <comment ref="C10" authorId="0">
      <text>
        <r>
          <rPr>
            <sz val="11"/>
            <color indexed="8"/>
            <rFont val="Helvetica Neue"/>
          </rPr>
          <t>Biemann, Christian A.:
Angaben zur Versorgung
Zu diesem Modul werden zunächst besondere Bedarfsaspekte erfasst. Dazu gehören die parenterale Ernährung oder die Ernährung über eine Sonde, die künstliche Harn- oder Stuhlableitung sowie Störungen der Blasen- und Darmkontrolle in ihren Ausprägungsgraden.
Ernährung parenteral oder über Sonde
Es ist anzugeben, ob die Ernährung parenteral z. B. über einen Port, über eine perkutane endoskopische Gastrostomie (PEG), eine perkutane endoskopische Jejunostomie (PEJ) oder eine nasale Magensonde, sowie ob sie über Pumpe, Schwerkraft oder als Bolusgabe erfolgt.
Blasenkontrolle/Harnkontinenz
Gemeint ist hier, Harndrang zu verspüren und so rechtzeitig zu äußern, dass die Blasenentleerung geregelt werden kann. Jegliche Art von unwillkürlichem Harnabgang ist zu berücksichtigen, unabhängig von der Ursache. Zu erfassen ist hier vorrangig die Kontrolle der Blasenentleerung, die Steuerung der Blasenentleerung, die Vermeidung unwillkürlicher Harnabgänge, ggf. mit personeller Hilfe.
Es sind folgende Merkmalsausprägungen vorgesehen:
Ständig kontinent: Keine unwillkürlichen Harnabgänge.
Überwiegend kontinent: Maximal einmal täglich unwillkürlicher Harnabgang oder Tröpfcheninkontinenz.
Überwiegend inkontinent: Mehrmals täglich unwillkürliche Harnabgänge, aber gesteuerte Blasenentleerung ist noch teilweise möglich.
Komplett inkontinent: Die Person ist komplett harninkontinent. Gesteuerte Blasenentleerung ist nicht möglich.
Alternativ anzugeben ist, ob ein suprapubischer oder transurethraler Dauerkatheter oder Urostoma vorhanden ist. Einmalkatheterisieren ist nicht hier, sondern unter Punkt F 4.5.10 zu berücksichtigen, hier ist anzugeben, ob und in welchem Umfang daneben eine Inkontinenz besteht.
Darmkontrolle, Stuhlkontinenz
Gemeint ist, Stuhldrang zu verspüren und so rechtzeitig zu äußern, dass die Darmentleerung geregelt werden kann. Zu bewerten ist hier die Vermeidung unwillkürlicher Stuhlabgänge, ggf. mit personeller Hilfe.
Es sind folgende Merkmalsausprägungen vorgesehen:
Ständig kontinent: Keine unwillkürlichen Stuhlabgänge.
Überwiegend kontinent: Die Person ist überwiegend stuhlkontinent, gelegentlich unwillkürliche
Stuhlabgänge oder nur geringe Stuhlmengen, sogenannte Schmierstühle.
Überwiegend inkontinent: Die Person ist überwiegend stuhlinkontinent, selten gesteuerte Darmentleerung möglich.
Komplett inkontinent: Die Person ist komplett stuhlinkontinent, gesteuerte Darmentleerung
ist nicht möglich.
Alternativ anzugeben ist, ob ein Colo-, Ileostoma vorhanden ist.
Bewertung der Selbständigkeit
Zu bewerten ist, ob die untersuchte Person die jeweilige Aktivität praktisch durchführen kann.
Es ist unerheblich, ob die Beeinträchtigungen der Selbständigkeit aufgrund von Schädigungen
somatischer oder mentaler Funktionen bestehen oder ob Teilaspekte bereits in anderen Modulen berücksichtigt worden sind.</t>
        </r>
      </text>
    </comment>
    <comment ref="D13" authorId="0">
      <text>
        <r>
          <rPr>
            <sz val="11"/>
            <color indexed="8"/>
            <rFont val="Helvetica Neue"/>
          </rPr>
          <t>Biemann, Christian A.:
Sich die Hände, das Gesicht, den Hals, die Arme, die Achselhöhlen und den vorderen Brustbereich waschen und abtrocknen.</t>
        </r>
      </text>
    </comment>
    <comment ref="L13" authorId="0">
      <text>
        <r>
          <rPr>
            <sz val="11"/>
            <color indexed="8"/>
            <rFont val="Helvetica Neue"/>
          </rPr>
          <t>Biemann, Christian A.:
Die Person kann die beschriebene Aktivität ohne personelle Hilfe durchführen.</t>
        </r>
      </text>
    </comment>
    <comment ref="N13" authorId="0">
      <text>
        <r>
          <rPr>
            <sz val="11"/>
            <color indexed="8"/>
            <rFont val="Helvetica Neue"/>
          </rPr>
          <t>Biemann, Christian A.:
Die Person kann die Aktivität selbständig durchführen, wenn benötigte Gegenstände, z. B. Seife, Waschlappen, bereitgelegt werden oder sie Aufforderung bzw. punktuelle Teilhilfen, z. B. Waschen unter den Achseln oder der Brust, erhält.</t>
        </r>
      </text>
    </comment>
    <comment ref="P13" authorId="0">
      <text>
        <r>
          <rPr>
            <sz val="11"/>
            <color indexed="8"/>
            <rFont val="Helvetica Neue"/>
          </rPr>
          <t>Biemann, Christian A.:
Die Person kann nur geringe Anteile der Aktivität selbständig durchführen, sich z. B. nur Hände oder Gesicht waschen, oder benötigt umfassende Anleitung.</t>
        </r>
      </text>
    </comment>
    <comment ref="R13" authorId="0">
      <text>
        <r>
          <rPr>
            <sz val="11"/>
            <color indexed="8"/>
            <rFont val="Helvetica Neue"/>
          </rPr>
          <t>Biemann, Christian A.:
Die Person kann sich an der Aktivität nicht oder nur minimal beteiligen.</t>
        </r>
      </text>
    </comment>
    <comment ref="D14" authorId="0">
      <text>
        <r>
          <rPr>
            <sz val="11"/>
            <color indexed="8"/>
            <rFont val="Helvetica Neue"/>
          </rPr>
          <t>Biemann, Christian A.:
Kämmen, Zahnpflege, Prothesenreinigung, Rasieren.</t>
        </r>
      </text>
    </comment>
    <comment ref="L14" authorId="0">
      <text>
        <r>
          <rPr>
            <sz val="11"/>
            <color indexed="8"/>
            <rFont val="Helvetica Neue"/>
          </rPr>
          <t>Biemann, Christian A.:
Die Person kann die beschriebene Aktivitäten ohne personelle Hilfe durchführen.</t>
        </r>
      </text>
    </comment>
    <comment ref="N14" authorId="0">
      <text>
        <r>
          <rPr>
            <sz val="11"/>
            <color indexed="8"/>
            <rFont val="Helvetica Neue"/>
          </rPr>
          <t>Biemann, Christian A.:
Die Person kann die Aktivitäten selbständig durchführen, wenn benötigte Gegenstände bereitgelegt oder gerichtet werden, z. B. Aufdrehen der Zahnpastatube, Auftragen der Zahnpasta auf die Bürste, Aufbringen von Haftcreme auf die Prothese, Anreichen oder Säubern des Rasierapparates. Alternativ sind Aufforderungen oder punktuelle Teilhilfen erforderlich wie Korrekturen nach dem Kämmen oder nur das Kämmen des Hinterkopfes, das Reinigen der hinteren Backenzähne bei der Zahn-, Mundpflege bzw. die Nachrasur bei sonst selbständigem Rasieren.</t>
        </r>
      </text>
    </comment>
    <comment ref="P14" authorId="0">
      <text>
        <r>
          <rPr>
            <sz val="11"/>
            <color indexed="8"/>
            <rFont val="Helvetica Neue"/>
          </rPr>
          <t>Biemann, Christian A.:
Die Person kann nur geringe Anteile der Aktivität selbständig leisten, so beginnt sie z. B. mit dem Zähneputzen oder der Rasur, ohne die Aktivität zu Ende zu führen.</t>
        </r>
      </text>
    </comment>
    <comment ref="R14" authorId="0">
      <text>
        <r>
          <rPr>
            <sz val="11"/>
            <color indexed="8"/>
            <rFont val="Helvetica Neue"/>
          </rPr>
          <t>Biemann, Christian A.:
Die Person kann sich an den Aktivitäten nicht oder nur minimal beteiligen.</t>
        </r>
      </text>
    </comment>
    <comment ref="D15" authorId="0">
      <text>
        <r>
          <rPr>
            <sz val="11"/>
            <color indexed="8"/>
            <rFont val="Helvetica Neue"/>
          </rPr>
          <t>Biemann, Christian A.:
Den Intimbereich waschen und abtrocknen.</t>
        </r>
      </text>
    </comment>
    <comment ref="L15" authorId="0">
      <text>
        <r>
          <rPr>
            <sz val="11"/>
            <color indexed="8"/>
            <rFont val="Helvetica Neue"/>
          </rPr>
          <t>Biemann, Christian A.:
Die Person kann die beschriebene Aktivität ohne personelle Hilfe durchführen.</t>
        </r>
      </text>
    </comment>
    <comment ref="N15" authorId="0">
      <text>
        <r>
          <rPr>
            <sz val="11"/>
            <color indexed="8"/>
            <rFont val="Helvetica Neue"/>
          </rPr>
          <t>Biemann, Christian A.:
Die Person kann die Aktivität selbständig durchführen, wenn benötigte Utensilien, z. B. Seife, Waschlappen, bereitgelegt werden oder sie Aufforderung bzw. punktuelle Teilhilfen erhält.</t>
        </r>
      </text>
    </comment>
    <comment ref="P15" authorId="0">
      <text>
        <r>
          <rPr>
            <sz val="11"/>
            <color indexed="8"/>
            <rFont val="Helvetica Neue"/>
          </rPr>
          <t>Biemann, Christian A.:
Die Person kann nur geringe Anteile der Aktivität selbständig durchführen, sich z. B. nur den vorderen Intimbereich waschen.</t>
        </r>
      </text>
    </comment>
    <comment ref="R15" authorId="0">
      <text>
        <r>
          <rPr>
            <sz val="11"/>
            <color indexed="8"/>
            <rFont val="Helvetica Neue"/>
          </rPr>
          <t>Biemann, Christian A.:
Die Person kann sich an der Aktivität nicht oder nur minimal beteiligen.</t>
        </r>
      </text>
    </comment>
    <comment ref="D16" authorId="0">
      <text>
        <r>
          <rPr>
            <sz val="11"/>
            <color indexed="8"/>
            <rFont val="Helvetica Neue"/>
          </rPr>
          <t>Biemann, Christian A.:
Durchführung des Dusch- oder Wannenbades einschließlich des Waschens der Haare.
Dabei sind neben der Fähigkeit, den Körper waschen zu können, auch Sicherheitsaspekte zu berücksichtigen. (Teil-)Hilfen beim Waschen in der Wanne, Dusche sind hier ebenso zu berücksichtigen wie die Hilfe beim Ein- und Aussteigen oder eine notwendige Überwachung während des Bades. Dazu gehört auch das Abtrocknen, Haare waschen und föhnen.</t>
        </r>
      </text>
    </comment>
    <comment ref="L16" authorId="0">
      <text>
        <r>
          <rPr>
            <sz val="11"/>
            <color indexed="8"/>
            <rFont val="Helvetica Neue"/>
          </rPr>
          <t>Biemann, Christian A.:
Die Person kann die beschriebene Aktivität ohne personelle Hilfe durchführen.</t>
        </r>
      </text>
    </comment>
    <comment ref="N16" authorId="0">
      <text>
        <r>
          <rPr>
            <sz val="11"/>
            <color indexed="8"/>
            <rFont val="Helvetica Neue"/>
          </rPr>
          <t>Biemann, Christian A.:
Die Person kann die Aktivität selbständig durchführen, wenn Utensilien vorbereitet bzw. bereitgestellt werden, einzelne Handreichungen geleistet werden, z. B. Stützen beim Ein-, Aussteigen, Bedienung eines Badewannenlifters, Hilfe beim Haarewaschen oder Föhnen, beim Abtrocknen, oder wenn während des (Dusch-)Bades aus nachvollziehbaren Sicherheitsgründen Anwesenheit erforderlich ist.</t>
        </r>
      </text>
    </comment>
    <comment ref="P16" authorId="0">
      <text>
        <r>
          <rPr>
            <sz val="11"/>
            <color indexed="8"/>
            <rFont val="Helvetica Neue"/>
          </rPr>
          <t>Biemann, Christian A.:
Die Person kann nur einen begrenzten Teil der Aktivität selbständig durchführen, z. B. das Waschen des vorderen Oberkörpers.</t>
        </r>
      </text>
    </comment>
    <comment ref="R16" authorId="0">
      <text>
        <r>
          <rPr>
            <sz val="11"/>
            <color indexed="8"/>
            <rFont val="Helvetica Neue"/>
          </rPr>
          <t>Biemann, Christian A.:
Die Person kann sich an der Aktivität nicht oder nur minimal beteiligen.</t>
        </r>
      </text>
    </comment>
    <comment ref="D17" authorId="0">
      <text>
        <r>
          <rPr>
            <sz val="11"/>
            <color indexed="8"/>
            <rFont val="Helvetica Neue"/>
          </rPr>
          <t>Biemann, Christian A.:
Bereitliegende Kleidungsstücke, z. B. Unterhemd, T-Shirt, Hemd, Bluse, Pullover, Jacke, BH, Schlafanzugoberteil oder Nachthemd, an- und ausziehen.
Die Beurteilung ist unabhängig davon vorzunehmen, ob solche Kleidungsstücke derzeit getragen werden. Die situationsgerechte Auswahl der Kleidung ist nicht hier, sondern unter Punkt F 4.2.6 zu berücksichtigen. Das An- und Ablegen von körpernahen Hilfsmitteln ist unter Punkt F 4.5.7 zu berücksichtigen.</t>
        </r>
      </text>
    </comment>
    <comment ref="L17" authorId="0">
      <text>
        <r>
          <rPr>
            <sz val="11"/>
            <color indexed="8"/>
            <rFont val="Helvetica Neue"/>
          </rPr>
          <t>Biemann, Christian A.:
Die Person kann die beschriebene Aktivität ohne personelle Hilfe durchführen.</t>
        </r>
      </text>
    </comment>
    <comment ref="N17" authorId="0">
      <text>
        <r>
          <rPr>
            <sz val="11"/>
            <color indexed="8"/>
            <rFont val="Helvetica Neue"/>
          </rPr>
          <t>Biemann, Christian A.:
Die Person kann die beschriebene Aktivität ohne personelle Hilfe
durchführen.</t>
        </r>
      </text>
    </comment>
    <comment ref="P17" authorId="0">
      <text>
        <r>
          <rPr>
            <sz val="11"/>
            <color indexed="8"/>
            <rFont val="Helvetica Neue"/>
          </rPr>
          <t>Biemann, Christian A.:
Die Person kann nur bei einem begrenzten Teil der Aktivität mithelfen, beispielsweise die Hände in die Ärmel eines bereitgehaltenen T-Shirts schieben.</t>
        </r>
      </text>
    </comment>
    <comment ref="R17" authorId="0">
      <text>
        <r>
          <rPr>
            <sz val="11"/>
            <color indexed="8"/>
            <rFont val="Helvetica Neue"/>
          </rPr>
          <t>Biemann, Christian A.:
Die Person kann sich an der Aktivität nicht oder nur minimal beteiligen.</t>
        </r>
      </text>
    </comment>
    <comment ref="D18" authorId="0">
      <text>
        <r>
          <rPr>
            <sz val="11"/>
            <color indexed="8"/>
            <rFont val="Helvetica Neue"/>
          </rPr>
          <t>Biemann, Christian A.:
Bereitliegende Kleidungsstücke, z. B. Unterwäsche, Hose, Rock, Strümpfe und Schuhe, an- und ausziehen.
Die Beurteilung ist unabhängig davon vorzunehmen, ob solche Kleidungsstücke derzeit getragen werden. Die situationsgerechte Auswahl der Kleidung ist unter Punkt F 4.2.6 zu berücksichtigen. Das An- und Ablegen von körpernahen Hilfsmitteln ist unter Punkt F 4.5.7 zu berücksichtigen, z. B. Kompressionsstrümpfe.</t>
        </r>
      </text>
    </comment>
    <comment ref="L18" authorId="0">
      <text>
        <r>
          <rPr>
            <sz val="11"/>
            <color indexed="8"/>
            <rFont val="Helvetica Neue"/>
          </rPr>
          <t>Biemann, Christian A.:
Die Person kann die beschriebene Aktivität ohne personelle Hilfe
 durchführen.</t>
        </r>
      </text>
    </comment>
    <comment ref="N18" authorId="0">
      <text>
        <r>
          <rPr>
            <sz val="11"/>
            <color indexed="8"/>
            <rFont val="Helvetica Neue"/>
          </rPr>
          <t>Biemann, Christian A.:
Die Person kann die Aktivität beispielsweise selbständig durchführen, wenn Kleidungsstücke angereicht oder gehalten werden (Einstiegshilfe). Auch wenn Hilfe nur bei Verschlüssen, z. B. Schnürsenkel binden, Knöpfe schließen oder Kontrolle des Sitzes der Kleidung, und Aufforderungen zur Vervollständigung der Handlung erforderlich sind, trifft die Bewertung „überwiegend selbständig“ zu.</t>
        </r>
      </text>
    </comment>
    <comment ref="P18" authorId="0">
      <text>
        <r>
          <rPr>
            <sz val="11"/>
            <color indexed="8"/>
            <rFont val="Helvetica Neue"/>
          </rPr>
          <t>Biemann, Christian A.:
Die Person kann die Aktivität zu einem geringen Teil selbständig durchführen. Beispielsweise gelingt das Hochziehen von Hose, Rock zur Taille selbständig, zuvor muss das Kleidungsstück jedoch von der Pflegeperson über die Füße gezogen werden.1</t>
        </r>
      </text>
    </comment>
    <comment ref="R18" authorId="0">
      <text>
        <r>
          <rPr>
            <sz val="11"/>
            <color indexed="8"/>
            <rFont val="Helvetica Neue"/>
          </rPr>
          <t>Biemann, Christian A.:
Die Person kann sich an der Aktivität nicht oder nur minimal beteiligen.</t>
        </r>
      </text>
    </comment>
    <comment ref="D19" authorId="0">
      <text>
        <r>
          <rPr>
            <sz val="11"/>
            <color indexed="8"/>
            <rFont val="Helvetica Neue"/>
          </rPr>
          <t>Biemann, Christian A.:
Zerteilen von Nahrung in mundgerechte Stücke und Eingießen von Getränken.
Dazu gehört das Zerteilen von belegten Brotscheiben, Obst oder anderen Speisen in mundgerechte Stücke, z. B. das Kleinschneiden von Fleisch, das Zerdrücken von Kartoffeln, Pürieren der Nahrung, Verschlüsse von Getränkeflaschen öffnen, Getränke aus einer Flasche oder Kanne in ein Glas bzw. eine Tasse eingießen, ggf. unter Nutzung von Hilfsmitteln wie Antirutschbrett oder sonstigen Gegenständen wie Spezialbesteck.</t>
        </r>
      </text>
    </comment>
    <comment ref="L19" authorId="0">
      <text>
        <r>
          <rPr>
            <sz val="11"/>
            <color indexed="8"/>
            <rFont val="Helvetica Neue"/>
          </rPr>
          <t>Biemann, Christian A.:
Die Person kann die beschriebene Aktivität ohne personelle Hilfe durchführen.</t>
        </r>
      </text>
    </comment>
    <comment ref="N19" authorId="0">
      <text>
        <r>
          <rPr>
            <sz val="11"/>
            <color indexed="8"/>
            <rFont val="Helvetica Neue"/>
          </rPr>
          <t>Biemann, Christian A.:
Es ist punktuelle Hilfe erforderlich, z. B. beim Öffnen einer Flasche oder beim Schneiden von harten Nahrungsmitteln.</t>
        </r>
      </text>
    </comment>
    <comment ref="P19" authorId="0">
      <text>
        <r>
          <rPr>
            <sz val="11"/>
            <color indexed="8"/>
            <rFont val="Helvetica Neue"/>
          </rPr>
          <t>Biemann, Christian A.:
Die Person kann die Aktivität zu einem geringen Teil selbständig durchführen, beispielsweise schneidet sie zwar belegte Brotscheiben, schafft es aber nicht, mundgerechte Stücke herzustellen. Oder sie gießt aus einer Flasche Wasser ins Glas, verschüttet das Wasser dabei jedoch regelmäßig.</t>
        </r>
      </text>
    </comment>
    <comment ref="R19" authorId="0">
      <text>
        <r>
          <rPr>
            <sz val="11"/>
            <color indexed="8"/>
            <rFont val="Helvetica Neue"/>
          </rPr>
          <t>Biemann, Christian A.:
Die Person kann sich an der Aktivität nicht oder nur minimal beteiligen.</t>
        </r>
      </text>
    </comment>
    <comment ref="D20" authorId="0">
      <text>
        <r>
          <rPr>
            <sz val="11"/>
            <color indexed="8"/>
            <rFont val="Helvetica Neue"/>
          </rPr>
          <t>Biemann, Christian A.:
Bereitgestellte, mundgerecht zubereitete Speisen essen.
Dies beinhaltet das Aufnehmen, Zum-Mund-Führen, ggf. Abbeißen, Kauen und Schlucken von mundgerecht zubereiteten Speisen, die üblicherweise mit den Fingern gegessen werden, z. B. Brot, Kekse, Obst oder das Essen mit Gabel oder Löffel, ggf. mit speziellen Hilfsmitteln wie adaptiertem Besteck.
Zu berücksichtigen ist auch, inwieweit die Notwendigkeit der ausreichenden Nahrungsaufnahme (auch ohne Hungergefühl oder Appetit) erkannt und die empfohlene, gewohnte Menge tatsächlich gegessen wird.
Das Einhalten von Diäten ist nicht hier, sondern unter Punkt F 4.5.16 zu bewerten.
Die Beurteilung ist auch dann vorzunehmen, wenn die Nahrungsaufnahme über eine Sonde bzw. parenteral erfolgt.</t>
        </r>
      </text>
    </comment>
    <comment ref="L20" authorId="0">
      <text>
        <r>
          <rPr>
            <sz val="11"/>
            <color indexed="8"/>
            <rFont val="Helvetica Neue"/>
          </rPr>
          <t>Biemann, Christian A.:
Die Person kann die beschriebene Aktivität ohne personelle Hilfe durchführen.</t>
        </r>
      </text>
    </comment>
    <comment ref="N20" authorId="0">
      <text>
        <r>
          <rPr>
            <sz val="11"/>
            <color indexed="8"/>
            <rFont val="Helvetica Neue"/>
          </rPr>
          <t>Biemann, Christian A.:
Die Person kann überwiegend selbständig essen, benötigt aber punktuelle Anleitung, muss beispielsweise aufgefordert werden, mit dem Essen zu beginnen oder weiterzuessen. Es sind punktuelle Hilfen erforderlich, z. B. Zurücklegen aus der Hand gerutschter Speisen oder Besteck in die Hand geben.</t>
        </r>
      </text>
    </comment>
    <comment ref="P20" authorId="0">
      <text>
        <r>
          <rPr>
            <sz val="11"/>
            <color indexed="8"/>
            <rFont val="Helvetica Neue"/>
          </rPr>
          <t>Biemann, Christian A.:
Es muss ständig zur Nahrungsaufnahme motiviert werden oder die Nahrung muss größtenteils gereicht werden oder es ist ständige und unmittelbare Eingreifbereitschaft der Pflegeperson erforderlich, aufgrund von Aspirationsgefahr.</t>
        </r>
      </text>
    </comment>
    <comment ref="R20" authorId="0">
      <text>
        <r>
          <rPr>
            <sz val="11"/>
            <color indexed="8"/>
            <rFont val="Helvetica Neue"/>
          </rPr>
          <t>Biemann, Christian A.:
Die Nahrung muss (nahezu) komplett gereicht werden.</t>
        </r>
      </text>
    </comment>
    <comment ref="D21" authorId="0">
      <text>
        <r>
          <rPr>
            <sz val="11"/>
            <color indexed="8"/>
            <rFont val="Helvetica Neue"/>
          </rPr>
          <t>Biemann, Christian A.:
Bereitstehende Getränke aufnehmen, ggf. mit Gegenständen wie Strohhalm, Spezialbecher mit Trinkaufsatz.
Zu berücksichtigen ist auch, inwieweit die Notwendigkeit der Flüssigkeitsaufnahme (auch ohne ausreichendes Durstgefühl) erkannt und die empfohlene oder gewohnte Menge tatsächlich getrunken wird.
Die Beurteilung der Selbständigkeit ist auch dann vorzunehmen, wenn die Flüssigkeitsaufnahme über eine Sonde bzw. parenteral erfolgt.</t>
        </r>
      </text>
    </comment>
    <comment ref="L21" authorId="0">
      <text>
        <r>
          <rPr>
            <sz val="11"/>
            <color indexed="8"/>
            <rFont val="Helvetica Neue"/>
          </rPr>
          <t>Biemann, Christian A.:
Die Person kann die beschriebene Aktivität ohne personelle Hilfe
 durchführen.</t>
        </r>
      </text>
    </comment>
    <comment ref="N21" authorId="0">
      <text>
        <r>
          <rPr>
            <sz val="11"/>
            <color indexed="8"/>
            <rFont val="Helvetica Neue"/>
          </rPr>
          <t>Biemann, Christian A.:
Die Person kann selbständig trinken, wenn ein Glas, eine Tasse unmittelbar in den Aktionsradius der Person positioniert oder sie ans Trinken erinnert wird.</t>
        </r>
      </text>
    </comment>
    <comment ref="P21" authorId="0">
      <text>
        <r>
          <rPr>
            <sz val="11"/>
            <color indexed="8"/>
            <rFont val="Helvetica Neue"/>
          </rPr>
          <t>Biemann, Christian A.:
Das Trinkgefäß muss beispielsweise in die Hand gegeben werden, das Trinken erfolgt jedoch selbständig, oder die Person muss zu fast jedem Schluck motiviert werden oder es ist ständige und unmittelbare Eingreifbereitschaft der Pflegeperson erforderlich, aufgrund von Aspirationsgefahr.</t>
        </r>
      </text>
    </comment>
    <comment ref="R21" authorId="0">
      <text>
        <r>
          <rPr>
            <sz val="11"/>
            <color indexed="8"/>
            <rFont val="Helvetica Neue"/>
          </rPr>
          <t>Biemann, Christian A.:
Getränke müssen (nahezu) komplett gereicht werden.</t>
        </r>
      </text>
    </comment>
    <comment ref="D22" authorId="0">
      <text>
        <r>
          <rPr>
            <sz val="11"/>
            <color indexed="8"/>
            <rFont val="Helvetica Neue"/>
          </rPr>
          <t>Biemann, Christian A.:
Gehen zur Toilette, Hinsetzen und Aufstehen, Sitzen während der Blasen- oder Darmentleerung, Intimhygiene und Richten der Kleidung.
Die Beurteilung ist auch dann vorzunehmen, wenn anstelle der Toilettenbenutzung eine Versorgung mit Hilfsmitteln erfolgt, z. B. Inkontinenzmaterial, Katheter, Urostoma, Ileo- oder Colostoma.</t>
        </r>
      </text>
    </comment>
    <comment ref="L22" authorId="0">
      <text>
        <r>
          <rPr>
            <sz val="11"/>
            <color indexed="8"/>
            <rFont val="Helvetica Neue"/>
          </rPr>
          <t>Biemann, Christian A.:
Die Person kann die beschriebene Aktivität ohne personelle Hilfe durchführen.</t>
        </r>
      </text>
    </comment>
    <comment ref="N22" authorId="0">
      <text>
        <r>
          <rPr>
            <sz val="11"/>
            <color indexed="8"/>
            <rFont val="Helvetica Neue"/>
          </rPr>
          <t>Biemann, Christian A.:
Die Person kann die Aktivität überwiegend selbständig durchführen.
Personelle Hilfe kann sich beispielsweise beschränken auf einzelne Handlungsschritte wie:
• nur Bereitstellen und Leeren des Toilettenstuhls (alternativ Urinflasche oder anderer Behälter),
• nur Aufforderung oder Orientierungshinweise zum Auffinden der Toilette oder Begleitung auf dem Weg zur Toilette,
• nur Anreichen von Toilettenpapier oder Waschlappen, Intimhygiene nur nach Stuhlgang,
• nur Unterstützung beim Hinsetzen, Aufstehen von der Toilette,
• nur punktuelle Hilfe beim Richten der Bekleidung.</t>
        </r>
      </text>
    </comment>
    <comment ref="P22" authorId="0">
      <text>
        <r>
          <rPr>
            <sz val="11"/>
            <color indexed="8"/>
            <rFont val="Helvetica Neue"/>
          </rPr>
          <t>Biemann, Christian A.:
Die Person kann nur einzelne Handlungsschritte selbst ausführen, z. B. nur Richten der Bekleidung oder Intimhygiene nur nach Wasserlassen.</t>
        </r>
      </text>
    </comment>
    <comment ref="R22" authorId="0">
      <text>
        <r>
          <rPr>
            <sz val="11"/>
            <color indexed="8"/>
            <rFont val="Helvetica Neue"/>
          </rPr>
          <t>Biemann, Christian A.:
Die Person kann sich nicht oder nur minimal an der Aktivität beteiligen.</t>
        </r>
      </text>
    </comment>
    <comment ref="D23" authorId="0">
      <text>
        <r>
          <rPr>
            <sz val="11"/>
            <color indexed="8"/>
            <rFont val="Helvetica Neue"/>
          </rPr>
          <t>Biemann, Christian A.:
Inkontinenz- und Stomasysteme sachgerecht verwenden, nach Bedarf wechseln und entsorgen.
Dazu gehört auch das Entleeren eines Urinbeutels bei Dauerkatheter, Urostoma oder die Anwendung eines Urinalkondoms.
Die regelmäßige Einmalkatheterisierung ist nicht hier, sondern unter Punkt F 4.5.10 zu erfassen.</t>
        </r>
      </text>
    </comment>
    <comment ref="L23" authorId="0">
      <text>
        <r>
          <rPr>
            <sz val="11"/>
            <color indexed="8"/>
            <rFont val="Helvetica Neue"/>
          </rPr>
          <t>Biemann, Christian A.:
Die Person kann Hilfsmittel selbständig benutzen.</t>
        </r>
      </text>
    </comment>
    <comment ref="N23" authorId="0">
      <text>
        <r>
          <rPr>
            <sz val="11"/>
            <color indexed="8"/>
            <rFont val="Helvetica Neue"/>
          </rPr>
          <t>Biemann, Christian A.:
Die Person kann die Aktivität überwiegend selbständig durchführen, wenn Inkontinenzsysteme angereicht oder entsorgt werden oder die Person an den Wechsel erinnert wird.</t>
        </r>
      </text>
    </comment>
    <comment ref="P23" authorId="0">
      <text>
        <r>
          <rPr>
            <sz val="11"/>
            <color indexed="8"/>
            <rFont val="Helvetica Neue"/>
          </rPr>
          <t>Biemann, Christian A.:
Die Person kann sich am Wechsel der Inkontinenzsysteme beteiligen, z. B. nur Vorlagen einlegen oder Inkontinenzhosen nur entfernen.</t>
        </r>
      </text>
    </comment>
    <comment ref="R23" authorId="0">
      <text>
        <r>
          <rPr>
            <sz val="11"/>
            <color indexed="8"/>
            <rFont val="Helvetica Neue"/>
          </rPr>
          <t>Biemann, Christian A.:
Beteiligung ist nicht oder nur minimal möglich.</t>
        </r>
      </text>
    </comment>
    <comment ref="D24" authorId="0">
      <text>
        <r>
          <rPr>
            <sz val="11"/>
            <color indexed="8"/>
            <rFont val="Helvetica Neue"/>
          </rPr>
          <t>Biemann, Christian A.:
Inkontinenz- und Stomasysteme sachgerecht verwenden, nach Bedarf wechseln und entsorgen.
Dazu gehört, Inkontinenzsysteme, z. B. große Vorlagen mit Netzhose, Inkontinenzhose mit Klebestreifen oder Pants, sachgerecht verwenden, nach Bedarf wechseln und entsorgen. Dazu gehört auch die Anwendung eines Analtampons oder das Entleeren oder Wechseln eines Stomabeutels bei Enterostoma. Die Pflege des Stomas und der Wechsel einer Basisplatte sind unter F 4.5.9 zu berücksichtigen.</t>
        </r>
      </text>
    </comment>
    <comment ref="L24" authorId="0">
      <text>
        <r>
          <rPr>
            <sz val="11"/>
            <color indexed="8"/>
            <rFont val="Helvetica Neue"/>
          </rPr>
          <t>Biemann, Christian A.:
Die Person kann Hilfsmittel selbständig benutzen.</t>
        </r>
      </text>
    </comment>
    <comment ref="N24" authorId="0">
      <text>
        <r>
          <rPr>
            <sz val="11"/>
            <color indexed="8"/>
            <rFont val="Helvetica Neue"/>
          </rPr>
          <t>Biemann, Christian A.:
Die Person kann die Aktivität überwiegend selbständig durchführen, wenn Inkontinenzsysteme bereitgelegt und entsorgt werden oder die Person an den Wechsel erinnert wird.</t>
        </r>
      </text>
    </comment>
    <comment ref="P24" authorId="0">
      <text>
        <r>
          <rPr>
            <sz val="11"/>
            <color indexed="8"/>
            <rFont val="Helvetica Neue"/>
          </rPr>
          <t>Biemann, Christian A.:
Die Person kann sich am Wechsel der Inkontinenzsysteme beteiligen, z. B. Mithilfe beim Wechsel eines Stomabeutels. Bei Vorliegen einer Stuhlinkontinenz sind Ressourcen beim Wechsel des Inkontinenzmaterials eher selten.</t>
        </r>
      </text>
    </comment>
    <comment ref="R24" authorId="0">
      <text>
        <r>
          <rPr>
            <sz val="11"/>
            <color indexed="8"/>
            <rFont val="Helvetica Neue"/>
          </rPr>
          <t>Biemann, Christian A.:
Beteiligung ist nicht (oder nur minimal) möglich.</t>
        </r>
      </text>
    </comment>
    <comment ref="D27" authorId="0">
      <text>
        <r>
          <rPr>
            <sz val="11"/>
            <color indexed="8"/>
            <rFont val="Helvetica Neue"/>
          </rPr>
          <t>Biemann, Christian A.:
Ernährung über einen parenteralen Zugang (z. B. einen Port) oder über einen Zugang in Magen oder Dünndarm (PEG/PEJ).</t>
        </r>
      </text>
    </comment>
    <comment ref="L27" authorId="0">
      <text>
        <r>
          <rPr>
            <sz val="11"/>
            <color indexed="8"/>
            <rFont val="Helvetica Neue"/>
          </rPr>
          <t>Biemann, Christian A.:
Die Person führt die Versorgung ohne Fremdhilfe durch.</t>
        </r>
      </text>
    </comment>
    <comment ref="N27" authorId="0">
      <text>
        <r>
          <rPr>
            <sz val="11"/>
            <color indexed="8"/>
            <rFont val="Helvetica Neue"/>
          </rPr>
          <t>Biemann, Christian A.:
Die Person erhält zusätzlich zur oralen Nahrungsaufnahme
Nahrung oder Flüssigkeit parenteral oder über
Sonde, aber nur gelegentlich oder vorübergehend.</t>
        </r>
      </text>
    </comment>
    <comment ref="P27" authorId="0">
      <text>
        <r>
          <rPr>
            <sz val="11"/>
            <color indexed="8"/>
            <rFont val="Helvetica Neue"/>
          </rPr>
          <t>Biemann, Christian A.:
Die Person erhält in der Regel täglich Nahrung oder Flüssigkeit parenteral oder über Sonde und täglich oral Nahrung. Sie wird zum Teil, aber nicht ausreichend über die orale Nahrungsaufnahme ernährt und benötigt zur Nahrungsergänzung bzw. zur Vermeidung von Mangelernährung täglich Sondenkost.</t>
        </r>
      </text>
    </comment>
    <comment ref="R27" authorId="0">
      <text>
        <r>
          <rPr>
            <sz val="11"/>
            <color indexed="8"/>
            <rFont val="Helvetica Neue"/>
          </rPr>
          <t>Biemann, Christian A.:
Die Person erhält ausschließlich oder nahezu ausschließlich Nahrung und Flüssigkeit parenteral oder über Sonde. Eine orale Nahrungsaufnahme erfolgt nicht oder nur in geringem Maße zur Förderung der Sinneswahrnehmung.</t>
        </r>
      </text>
    </comment>
  </commentList>
</comments>
</file>

<file path=xl/comments5.xml><?xml version="1.0" encoding="utf-8"?>
<comments xmlns="http://schemas.openxmlformats.org/spreadsheetml/2006/main">
  <authors>
    <author>Biemann, Christian A.</author>
    <author>Anja</author>
  </authors>
  <commentList>
    <comment ref="C10" authorId="0">
      <text>
        <r>
          <rPr>
            <sz val="11"/>
            <color indexed="8"/>
            <rFont val="Helvetica Neue"/>
          </rPr>
          <t>Biemann, Christian A.:
Der Bereich „Bewältigung von und selbständiger Umgang mit krankheits- oder therapiebedingten Anforderungen und Belastungen“ erfasst im Rahmen der Begutachtung vom bisherigen Pflegebedürftigkeitsbegriff nicht berücksichtigte Aktivitäten und Fähigkeiten. Sie sind dem Themenkreis der selbständigen Krankheitsbewältigung zuzuordnen, und zwar insbesondere der „krankheitsbezogenen Arbeit“, die direkt auf die Kontrolle von Erkrankungen und Symptomen sowie auf die Durchführung therapeutischer Interventionen bezogen ist. Hierbei geht es ausdrücklich nicht darum, den Bedarf an Maßnahmen der häuslichen Krankenpflege bzw. Behandlungspflege nach dem Fünften Buch einzuschätzen. Insoweit gilt § 13 Absatz 2 SGB XI. Diese Leistungen werden auch weiterhin in der häuslichen Versorgung von der gesetzlichen Krankenversicherung erbracht; in der vollstationären Versorgung im Rahmen des § 43 SGB XI von der Pflegeversicherung. Ein Großteil der hier aufgeführten Maßnahmen und Handlungen kann von erkrankten Personen eigenständig durchgeführt werden, sofern sie über die dazu nötigen Ressourcen verfügen, d. h. über körperliche und kognitive Fähigkeiten, spezifische Fertigkeiten, Motivation,
Kenntnisse u. a. m. Dies gilt auch für Maßnahmen, die nur selten von den Erkrankten selbst durchgeführt werden, wie z. B. das Absaugen von Sekret oder die regelmäßige Einmalkatheterisierung. Mit dem Bereich ist daher häufig ein Hilfebedarf bei der Anleitung und Motivation oder Schulung verknüpft.
Angaben zur Versorgung
Zu diesem Modul werden zunächst die Bedarfsaspekte erfasst. Hier sind alle ärztlich angeordneten Maßnahmen nach Art und Häufigkeit aufzunehmen, auch wenn sie nur vorübergehend, d. h. für weniger als sechs Monate, erforderlich sind und deshalb nicht in die Bewertung eingehen.
Angaben zur ärztlichen und medikamentösen Versorgung
Dazu gehören Angaben zur ärztlichen und fachärztlichen Versorgung. Dabei sind die Art des Arztkontaktes (Haus- oder Praxisbesuch) und die Häufigkeit zu dokumentieren, auch wenn diese seltener als einmal monatlich erforderlich sind. bei Praxisbesuchen ist anzugeben, ob die Person die Praxis selbständig oder in Begleitung aufsucht.
Es ist auch die aktuelle medikamentöse Therapie zu erfragen. Aus der Sichtung der Medikamente können ggf. Informationen zu Art und Schwere der Erkrankung abgeleitet werden. Ausreichend ist die Dokumentation der Häufigkeit der Einnahme und der Art der Verabreichung, z. B. selbständig, Richten erforderlich.
Angaben zur laufenden Heilmitteltherapie
Anzugeben sind Art (physikalische Therapie, Ergotherapie, Stimm-, Sprech- und Sprachtherapie, podologische Therapie), Häufigkeit (wie oft pro Woche oder – wenn seltener – pro Monat) sowie ggf. die Dauer der Heilmittelversorgung. Es ist anzugeben, ob die Person die therapeutische Praxis selbständig oder in Begleitung aufsucht oder ob die Therapeutin bzw. der Therapeut zur Behandlung ins Haus kommt.
Angaben zur behandlungspflegerischen und zu anderen therapeutischen Maßnahmen
Ärztlich angeordnete behandlungspflegerische und therapeutische Maßnahmen sind nach Art, Häufigkeit und Dauer anzugeben, unabhängig davon, wer diese Leistungen erbringt. Insbesondere ist anzugeben, ob spezielle Krankenbeobachtung (Position 24 der Richtlinie des Gemeinsamen Bundesausschusses über die Verordnung von häuslicher Krankenpflege – HKP-Richtlinie) durch einen ambulanten Pflegedienst oder gemäß § 37 Abs. 2 Satz 3 SGB V in einer zugelassenen Pflegeeinrichtung erbracht wird.
Bewertung
In die Bewertung gehen nur die ärztlich angeordneten Maßnahmen ein, die gezielt auf eine bestehende Erkrankung ausgerichtet und für voraussichtlich mindestens sechs Monate erforderlich sind. Die ärztliche Anordnung kann sich auch auf nicht verschreibungspflichtige Medikamente oder äußerliche Anwendungen oder Übungsbehandlungen beziehen.
Zu bewerten ist, ob die Person die jeweilige Aktivität praktisch durchführen kann. Ist dies nicht der Fall, wird die Häufigkeit der erforderlichen Hilfe durch andere Personen dokumentiert (Anzahl pro Tag/pro Woche/pro Monat). Es ist unerheblich, ob die personelle Unterstützung durch Pflegepersonen oder Pflege(fach-)kräfte erfolgt, und auch, ob sie gemäß § 37 SGB V verordnet und abgerechnet wird.
Zu jedem Kriterium ist nur ein Eintrag möglich:
Entfällt oder selbständig oder Häufigkeit der Hilfe mit einer vollen Zahl pro Tag, pro Woche oder pro Monat. Ggf. ist von Tag auf Woche oder auf Monat umzurechnen. Zur Umrechnung von Woche auf Monat werden wöchentliche Maßnahmen mit vier multipliziert.
Erfolgt eine Medikation z. B. jeden zweiten Tag, so kann man diese Frequenz nur mit 15 x pro Monat darstellen.
Werden zweimal täglich Insulin-Injektionen gegeben und zweimal wöchentlich zusätzlich andere Injektionen, ist umzurechnen auf die Woche. Es erfolgt der Eintrag 16 x pro Woche.</t>
        </r>
      </text>
    </comment>
    <comment ref="D14" authorId="0">
      <text>
        <r>
          <rPr>
            <sz val="11"/>
            <color indexed="8"/>
            <rFont val="Helvetica Neue"/>
          </rPr>
          <t>Biemann, Christian A.:
Orale Medikation, Augen- oder Ohrentropfen, Zäpfchen und Medikamentenpflaster.
Das Ausmaß der Hilfestellung kann von einmal wöchentlichem Stellen der Medikamente im Wochendispenser bis zu mehrfach täglicher Einzelgabe differieren. Werden Medikamente verabreicht, ist das Stellen nicht gesondert zu berücksichtigen.</t>
        </r>
      </text>
    </comment>
    <comment ref="D15" authorId="1">
      <text>
        <r>
          <rPr>
            <sz val="11"/>
            <color indexed="8"/>
            <rFont val="Helvetica Neue"/>
          </rPr>
          <t>Anja:
Subkutane und intramuskuläre Injektionen und subkutane Infusionen
Dazu gehören z. B. Insulin-Injektionen oder auch die Versorgung mit Medikamentenpumpen über einen subkutanen Zugang.</t>
        </r>
      </text>
    </comment>
    <comment ref="D16" authorId="1">
      <text>
        <r>
          <rPr>
            <sz val="11"/>
            <color indexed="8"/>
            <rFont val="Helvetica Neue"/>
          </rPr>
          <t>Anja:
Hierunter fällt hauptsächlich die Port-Versorgung. Sie ist oft fachpflegerisch erforderlich. In Bezug auf den Umgang mit intravenösen Zugängen ist auch die Kontrolle zur Vermeidung von Komplikationen wie Verstopfung des Katheters zu berücksichtigen. Analog ist auch die Versorgung intrathekaler Zugänge hier zu erfassen. Das Anhängen von Nährlösungen zur parenteralen Ernährung ist nicht hier, sondern unter Punkt F 4.4.13 zu erfassen.</t>
        </r>
      </text>
    </comment>
    <comment ref="D17" authorId="1">
      <text>
        <r>
          <rPr>
            <sz val="11"/>
            <color indexed="8"/>
            <rFont val="Helvetica Neue"/>
          </rPr>
          <t>Anja:
Absaugen kann z. B. bei beatmeten oder tracheotomierten Patienten in sehr unterschiedlicher und wechselnder Häufigkeit notwendig sein. Es ist der durchschnittliche Bedarf anzugeben. Ebenso ist hier das An- und Ablegen von Sauerstoffbrillen oder analog auch von Atemmasken zur nächtlichen Druckbeatmung zu erfassen sowie das Bereitstellen eines Inhalationsgerätes (inkl. deren Reinigung). Jede Maßnahme ist auch einzeln zu berücksichtigen.</t>
        </r>
      </text>
    </comment>
    <comment ref="D18" authorId="1">
      <text>
        <r>
          <rPr>
            <sz val="11"/>
            <color indexed="8"/>
            <rFont val="Helvetica Neue"/>
          </rPr>
          <t>Anja:
Hier sind alle externen Anwendungen mit ärztlich angeordneten Salben, Cremes, Emulsionen etc. abzubilden, außerdem Kälte- und Wärmeanwendungen, die z. B. bei rheumatischen Erkrankungen angeordnet werden. Jede Maßnahme ist auch einzeln zu berücksichtigen.</t>
        </r>
      </text>
    </comment>
    <comment ref="D19" authorId="1">
      <text>
        <r>
          <rPr>
            <sz val="11"/>
            <color indexed="8"/>
            <rFont val="Helvetica Neue"/>
          </rPr>
          <t>Anja:
Die Aktivität umfasst Messungen wie z. B. Blutdruck, Puls, Blutzucker, Temperatur, Körpergewicht, Flüssigkeitshaushalt, soweit diese auf ärztliche Anordnung erfolgen. Dabei geht es nicht nur darum, die Messung durchzuführen, sondern auch notwendige Schlüsse zu ziehen, etwa zur Festlegung der erforderlichen Insulindosis oder zur Notwendigkeit anderer Maßnahmen, wie das Umstellen der Ernährung oder auch das Aufsuchen einer Ärztin oder eines Arztes. Dies gilt beispielsweise auch für Menschen mit erhöhtem Blutdruck, die zur Ergänzung der medikamentösen Therapie und einer Umstellung ihres Lebensstils regelmäßig Blutdruck und Puls kontrollieren.</t>
        </r>
      </text>
    </comment>
    <comment ref="D20" authorId="1">
      <text>
        <r>
          <rPr>
            <sz val="11"/>
            <color indexed="8"/>
            <rFont val="Helvetica Neue"/>
          </rPr>
          <t>Anja:
Hierunter versteht man beispielsweise das An- und Ablegen von Prothesen, kieferorthopädischen Apparaturen; Orthesen, Brille, Hörgerät oder Kompressionsstrümpfen (inkl. deren Reinigung). Der Umgang mit Zahnprothesen ist unter Punkt F 4.4.2 zu erfassen.</t>
        </r>
      </text>
    </comment>
    <comment ref="D26" authorId="1">
      <text>
        <r>
          <rPr>
            <sz val="11"/>
            <color indexed="8"/>
            <rFont val="Helvetica Neue"/>
          </rPr>
          <t>Anja:
Die Aktivität beinhaltet die Versorgung chronischer Wunden, wie z. B. Ulcus cruris oder Dekubitus.</t>
        </r>
      </text>
    </comment>
    <comment ref="D27" authorId="1">
      <text>
        <r>
          <rPr>
            <sz val="11"/>
            <color indexed="8"/>
            <rFont val="Helvetica Neue"/>
          </rPr>
          <t>Anja:
Gemeint ist hier die Pflege künstlicher Körperöffnungen wie Tracheostoma, PEG, suprapubischer Blasenkatheter, Urostoma, Colo- oder Ileostoma. Hierbei ist auch das Reinigen des Katheters, die Desinfektion der Einstichstelle der PEG und falls notwendig auch der Verbandswechsel zu bewerten. Die Pflege eines Urostoma, Colo- oder Ileostoma ist in der Regel mit dem Wechsel der Basisplatte oder dem Wechsel eines einteiligen Systems verbunden. Der einfache Wechsel oder das Entleeren eines Stoma- oder Katheterbeutels oder das Anhängen von Sondennahrung sind unter den Punkten F 4.4.11 ff. zu werten.</t>
        </r>
      </text>
    </comment>
    <comment ref="D28" authorId="1">
      <text>
        <r>
          <rPr>
            <sz val="11"/>
            <color indexed="8"/>
            <rFont val="Helvetica Neue"/>
          </rPr>
          <t>Anja:
Regelmäßige Einmalkatheterisierungen kommen insbesondere bei neurogenen  Blasenentleerungsstörungen vor. Mit Abführmethoden sind Anwendungen von Klistier, Einlauf, digitale Ausräumung gemeint.</t>
        </r>
      </text>
    </comment>
    <comment ref="D29" authorId="1">
      <text>
        <r>
          <rPr>
            <sz val="11"/>
            <color indexed="8"/>
            <rFont val="Helvetica Neue"/>
          </rPr>
          <t>Anja:
Bei vielen Erkrankungen werden aus einer Heilmitteltherapie heraus Anweisungen zu einem Eigenübungsprogramm gegeben, welches dauerhaft und regelmäßig durchgeführt werden soll, z. B. krankengymnastische Übungen, Atemübungen oder logopädische Übungen. Des Weiteren sind Maßnahmen zur Sekretelimination (ausgenommen Absaugen) zu nennen oder die Durchführung spezifischer Therapien nach Bobath oder Vojta oder die Durchführung ambulanter Peritonealdialyse (CAPD).</t>
        </r>
      </text>
    </comment>
    <comment ref="D35" authorId="1">
      <text>
        <r>
          <rPr>
            <sz val="11"/>
            <color indexed="8"/>
            <rFont val="Helvetica Neue"/>
          </rPr>
          <t>Anja:
Gemeint sind hier spezielle Therapiemaßnahmen wie Hämodialyse oder Beatmung, die im häuslichen Umfeld durchgeführt werden können, wenn ständige Überwachung während der Maßnahme durch geschulte Pflegepersonen gewährleistet wird.
Spezielle Krankenbeobachtung (gemäß Pos. 24 HKP-Richtlinie) ist meist rund um die Uhr erforderlich, z. B. bei maschineller Beatmung, und ist mit einmal täglich einzutragen.</t>
        </r>
      </text>
    </comment>
    <comment ref="D36" authorId="1">
      <text>
        <r>
          <rPr>
            <sz val="11"/>
            <color indexed="8"/>
            <rFont val="Helvetica Neue"/>
          </rPr>
          <t>Anja:
Hierunter fallen regelmäßige Besuche bei der niedergelassenen Hausärztin bzw. beim niedergelassenen Hausarzt oder Fachärztin bzw. Facharzt zu diagnostischen oder therapeutischen Zwecken.
Wenn eine Unterstützung auf dem Weg zu oder bei Arztbesuchen erforderlich ist, ist diese in durchschnittlicher Häufigkeit zu erfassen.</t>
        </r>
      </text>
    </comment>
    <comment ref="D37" authorId="1">
      <text>
        <r>
          <rPr>
            <sz val="11"/>
            <color indexed="8"/>
            <rFont val="Helvetica Neue"/>
          </rPr>
          <t>Anja:
Hier ist das Aufsuchen anderer Therapeuten, z. B. Physiotherapeuten/Krankengy nasten, Ergotherapeuten, Logopäden, Psychotherapeuten, von Krankenhäusern zur ambulanten Behandlung oder Diagnostik oder anderer Einrichtungen des Gesundheitswesens zu berücksichtigen.
Sollte der Gesamtzeitaufwand bei der Nutzung dieser Einrichtungen einschließlich der Fahrtzeiten für die Pflegeperson mehr als drei Stunden umfassen, so ist dies unter Punkt F 4.5.15 zu berücksichtigen.</t>
        </r>
      </text>
    </comment>
    <comment ref="D38" authorId="1">
      <text>
        <r>
          <rPr>
            <sz val="11"/>
            <color indexed="8"/>
            <rFont val="Helvetica Neue"/>
          </rPr>
          <t>Anja:
Bei manchen Erkrankungen kann es notwendig sein, spezialisierte Einrichtungen aufzusuchen, wodurch erhebliche Fahrtzeiten anfallen können. Auch kann es erforderlich sein, sich zeitaufwendiger diagnostischer oder therapeutischer Maßnahmen zu unterziehen, z. B. onkologische Behandlung oder Dialyse. Der dafür erforderliche Zeitaufwand für die Pflegeperson muss pro Termin mehr als drei Stunden betragen. Sollte der Zeitaufwand bei der Nutzung dieser Einrichtungen (einschl. Fahrtzeiten) unter drei Stunden liegen, so ist dies unter Punkt F 4.5.13 oder F 4.5.14 zu berücksichtigen.</t>
        </r>
      </text>
    </comment>
    <comment ref="D49" authorId="1">
      <text>
        <r>
          <rPr>
            <sz val="11"/>
            <color indexed="8"/>
            <rFont val="Helvetica Neue"/>
          </rPr>
          <t>Anja:
Bei manchen Erkrankungen werden bestimmte Diäten11 oder Essvorschriften oder andere Verhaltensvorschriften von der Ärztin oder vom Arzt angeordnet. Dazu gehören auch die ärztlich angeordnete Nahrungs- und Flüssigkeitszufuhr, in der sowohl die Art und Menge der Lebensmittel wie auch die Art und der Zeitpunkt der Aufnahme aus therapeutischen Gründen geregelt sind, z. B. bei Stoffwechselstörungen, Nahrungsmittelallergien, bei Essstörungen wie Anorexie oder Prader-Willi-Syndrom. Andere Verhaltensvorschriften können sich auf vitale Funktionen beziehen, z. B. Sicherstellung einer Langzeit-Sauerstoff-Therapie bei unruhigen Personen.
Diese Vorschriften sind im Einzelnen zu benennen. Im Weiteren sind der Grad der Selbständigkeit bei der Einhaltung dieser Vorschriften und der daraus resultierende Bedarf an personeller Unterstützung zu beurteilen. Es geht hier um die Einsichtsfähigkeit der Person zur Einhaltung der Vorschriften und nicht um die Zubereitung einer Diät oder das An- und Ablegen einer Sauerstoffmaske.
Nicht gemeint ist die selbstbestimmte Ablehnung von ärztlichen Vorschriften bei erhaltenen mentalen Funktionen.
Liegen keine Vorschriften vor, ist das Feld „entfällt, nicht erforderlich“ anzukreuzen.</t>
        </r>
      </text>
    </comment>
    <comment ref="N49" authorId="1">
      <text>
        <r>
          <rPr>
            <sz val="11"/>
            <color indexed="8"/>
            <rFont val="Helvetica Neue"/>
          </rPr>
          <t>Anja:
Die Person kann die Vorschriften selbständig einhalten. Das Bereitstellen einer Diät reicht aus.</t>
        </r>
      </text>
    </comment>
    <comment ref="P49" authorId="1">
      <text>
        <r>
          <rPr>
            <sz val="11"/>
            <color indexed="8"/>
            <rFont val="Helvetica Neue"/>
          </rPr>
          <t>Anja:
Die Person benötigt Erinnerung, Anleitung. In der Regel reicht das Bereitstellen der Diät nicht aus. Darüber hinausgehendes Eingreifen ist maximal einmal täglich erforderlich.</t>
        </r>
      </text>
    </comment>
    <comment ref="R49" authorId="1">
      <text>
        <r>
          <rPr>
            <sz val="11"/>
            <color indexed="8"/>
            <rFont val="Helvetica Neue"/>
          </rPr>
          <t>Anja:
Die Person benötigt meistens Anleitung, Beaufsichtigung. Das Bereitstellen der Diät reicht nicht aus. Darüber hinausgehendes Eingreifen ist mehrmals täglich erforderlich.</t>
        </r>
      </text>
    </comment>
    <comment ref="T49" authorId="1">
      <text>
        <r>
          <rPr>
            <sz val="11"/>
            <color indexed="8"/>
            <rFont val="Helvetica Neue"/>
          </rPr>
          <t>Anja:
Die Person benötigt immer Anleitung, Beaufsichtigung. Das Bereitstellen der Diät reicht nicht aus. Darüber hinausgehendes Eingreifen ist (fast) durchgehend erforderlich.</t>
        </r>
      </text>
    </comment>
  </commentList>
</comments>
</file>

<file path=xl/comments6.xml><?xml version="1.0" encoding="utf-8"?>
<comments xmlns="http://schemas.openxmlformats.org/spreadsheetml/2006/main">
  <authors>
    <author>Biemann, Christian A.</author>
    <author>Anja</author>
  </authors>
  <commentList>
    <comment ref="C10" authorId="0">
      <text>
        <r>
          <rPr>
            <sz val="11"/>
            <color indexed="8"/>
            <rFont val="Helvetica Neue"/>
          </rPr>
          <t>Biemann, Christian A.:
Zu bewerten ist, ob die Person die jeweilige Aktivität praktisch durchführen kann. Es ist unerheblich, ob die Beeinträchtigungen der Selbständigkeit aufgrund von Schädigungen somatischer oder mentaler Funktionen bestehen oder ob Teilaspekte bereits in anderen Modulen berücksichtigt worden sind.</t>
        </r>
      </text>
    </comment>
    <comment ref="D13" authorId="1">
      <text>
        <r>
          <rPr>
            <sz val="11"/>
            <color indexed="8"/>
            <rFont val="Helvetica Neue"/>
          </rPr>
          <t>Anja:
Den Tagesablauf nach individuellen Gewohnheiten und Vorlieben einteilen und bewusst gestalten und ggf. an äußere Veränderungen anpassen Dies erfordert planerische Fähigkeiten zur Umsetzung von Alltagsroutinen. Zu beurteilen ist, ob die Person von sich aus festlegen kann, ob und welche Aktivitäten sie im Laufe des Tages durchführen möchte, z. B. wann sie baden, essen oder zu Bett gehen oder wann sie fernsehen oder spazieren gehen möchte. Solche Festlegungen setzen voraus, dass die zeitliche Orientierung zumindest teilweise erhalten ist. Die Gutachterin bzw. der Gutachter kann dies prüfen, indem er sich z. B. den bisherigen oder künftigen Tagesablauf schildern lässt.</t>
        </r>
      </text>
    </comment>
    <comment ref="L13" authorId="1">
      <text>
        <r>
          <rPr>
            <sz val="11"/>
            <color indexed="8"/>
            <rFont val="Helvetica Neue"/>
          </rPr>
          <t>Anja:
Die Person kann die beschriebene Aktivität ohne personelle Hilfe
durchführen.</t>
        </r>
      </text>
    </comment>
    <comment ref="N13" authorId="1">
      <text>
        <r>
          <rPr>
            <sz val="11"/>
            <color indexed="8"/>
            <rFont val="Helvetica Neue"/>
          </rPr>
          <t>Anja:
Die Routineabläufe können weitgehend selbständig gestaltet werden, bei ungewohnten Veränderungen ist Unterstützung notwendig. Es reichen z. B. Erinnerungshilfen an einzelne vereinbarte Termine. Überwiegend selbständig ist eine Person beispielsweise auch dann, wenn ihre Kommunikationsfähigkeit oder Sinneswahrnehmung stark beeinträchtigt ist und sie daher Hilfe benötigt, um den Tagesablauf mit anderen Menschen abzustimmen.</t>
        </r>
      </text>
    </comment>
    <comment ref="P13" authorId="0">
      <text>
        <r>
          <rPr>
            <sz val="11"/>
            <color indexed="8"/>
            <rFont val="Helvetica Neue"/>
          </rPr>
          <t>Biemann, Christian A.:
Die Person benötigt Hilfe beim Planen des Routinetagesablaufs. Sie ist aber in der Lage, Zustimmung oder Ablehnung zu Strukturierungsangeboten zu signalisieren. Sie kann eigene Planungen häufig nicht einhalten, da diese wieder vergessen werden. Deshalb ist über den ganzen Tag hinweg eine Erinnerung bzw. Aufforderung erforderlich. Überwiegend unselbständig ist auch eine Person, die zwar selbst planen und entscheiden kann, aber für jegliche Umsetzung personelle Hilfe benötigt.</t>
        </r>
      </text>
    </comment>
    <comment ref="R13" authorId="0">
      <text>
        <r>
          <rPr>
            <sz val="11"/>
            <color indexed="8"/>
            <rFont val="Helvetica Neue"/>
          </rPr>
          <t>Biemann, Christian A.:
Mitwirkung an der Tagesstrukturierung oder Orientierung an vorgegebenen Strukturen ist nicht oder nur minimal möglich.</t>
        </r>
      </text>
    </comment>
    <comment ref="D14" authorId="1">
      <text>
        <r>
          <rPr>
            <sz val="11"/>
            <color indexed="8"/>
            <rFont val="Helvetica Neue"/>
          </rPr>
          <t>Anja:
Nach individuellen Gewohnheiten einen Tag-Nacht-Rhythmus einhalten und für ausreichende Ruhe- und Schlafphasen sorgen. Dazu gehört die Fähigkeit, die Notwendigkeit von Ruhephasen zu erkennen, sich auszuruhen und mit Phasen der Schlaflosigkeit umzugehen, aber auch die körperliche Fähigkeit, ins Bett zu kommen und die Ruhephasen insbesondere nachts einhalten zu können.</t>
        </r>
      </text>
    </comment>
    <comment ref="L14" authorId="1">
      <text>
        <r>
          <rPr>
            <sz val="11"/>
            <color indexed="8"/>
            <rFont val="Helvetica Neue"/>
          </rPr>
          <t>Anja:
Die Person kann die beschriebene Aktivität ohne personelle Hilfe
durchführen.</t>
        </r>
      </text>
    </comment>
    <comment ref="N14" authorId="1">
      <text>
        <r>
          <rPr>
            <sz val="11"/>
            <color indexed="8"/>
            <rFont val="Helvetica Neue"/>
          </rPr>
          <t>Anja:
Die Person benötigt personelle Hilfe beim Aufstehen oder Zu-Bett-Gehen, z. B. Transferhilfen oder zeitliche Orientierungshilfen beim Wecken oder Aufforderung, schlafen zu gehen, oder einzelne Hilfen wie z. B. Abdunkeln des Schlafraumes. Die Nachtruhe ist meist ungestört, nur gelegentlich entsteht nachts ein Hilfebedarf.</t>
        </r>
      </text>
    </comment>
    <comment ref="P14" authorId="0">
      <text>
        <r>
          <rPr>
            <sz val="11"/>
            <color indexed="8"/>
            <rFont val="Helvetica Neue"/>
          </rPr>
          <t>Biemann, Christian A.:
Es treten regelmäßig Einschlafprobleme oder nächtliche Unruhe
auf, die die Person größtenteils nicht allein bewältigen kann. Deshalb sind regelmäßige Einschlafrituale und beruhigende Ansprache in der Nacht erforderlich. Überwiegend unselbständig ist auch eine Person, die wegen hochgradiger motorischer Beeinträchtigung regelmäßig in der Nacht personeller Hilfe bedarf, um weiterschlafen zu können, z. B. bei Lagewechsel oder Toilettengängen in der Nacht.</t>
        </r>
      </text>
    </comment>
    <comment ref="R14" authorId="0">
      <text>
        <r>
          <rPr>
            <sz val="11"/>
            <color indexed="8"/>
            <rFont val="Helvetica Neue"/>
          </rPr>
          <t>Biemann, Christian A.:
Die Person verfügt über keinen oder einen gestörten Schlaf-Wach-Rhythmus. Dies gilt u. a. für mobile gerontopsychiatrisch erkrankte Personen und auch für Menschen, die keinerlei Aktivitäten ausüben (z. B. Wachkoma-Patienten) oder Personen, die regelmäßig mindestens dreimal in der Nacht personelle Unterstützung benötigen.</t>
        </r>
      </text>
    </comment>
    <comment ref="D15" authorId="1">
      <text>
        <r>
          <rPr>
            <sz val="11"/>
            <color indexed="8"/>
            <rFont val="Helvetica Neue"/>
          </rPr>
          <t>Anja:
Die verfügbare Zeit nutzen, um Aktivitäten durchzuführen, die den eigenen Vorlieben und Interessen entsprechen
„Verfügbare Zeit“ ist in diesem Zusammenhang definiert als Zeit, die nicht durch Notwendigkeiten wie Ruhen, Schlafen, Essen, Mahlzeitenzubereitung, Körperpflege, Arbeit etc. gebunden ist („freie“ Zeit).
Bei der Beurteilung geht es vorrangig um die Fähigkeit, nach individuellen kognitiven, manuellen, visuellen oder auditiven Fähigkeiten und Bedürfnissen geeignete Aktivitäten der Freizeitbeschäftigung auszuwählen und auch praktisch durchzuführen, z. B. Handarbeiten, Basteln, Bücher oder Zeitschriften lesen, Sendungen im Radio oder Fernsehen verfolgen, Computer nutzen. Dies gilt auch für Personen, die Angebote auswählen und steuern können, aber aufgrund somatischer Einschränkungen für die praktische Durchführung personelle Unterstützung benötigen.</t>
        </r>
      </text>
    </comment>
    <comment ref="L15" authorId="1">
      <text>
        <r>
          <rPr>
            <sz val="11"/>
            <color indexed="8"/>
            <rFont val="Helvetica Neue"/>
          </rPr>
          <t>Anja:
Die Person kann die beschriebene Aktivität ohne personelle Hilfe
durchführen.</t>
        </r>
      </text>
    </comment>
    <comment ref="N15" authorId="1">
      <text>
        <r>
          <rPr>
            <sz val="11"/>
            <color indexed="8"/>
            <rFont val="Helvetica Neue"/>
          </rPr>
          <t>Anja:
Es ist nur in geringem Maße Hilfe erforderlich, z. B. Zurechtlegen und Richten von Gegenständen, z. B. Utensilien wie Bastelmaterial, Fernbedienung, Kopfhörer o. Ä. oder Erinnerung an gewohnte Aktivitäten, Motivation oder Unterstützung bei der Entscheidungsfindung (Vorschläge unterbreiten).</t>
        </r>
      </text>
    </comment>
    <comment ref="P15" authorId="0">
      <text>
        <r>
          <rPr>
            <sz val="11"/>
            <color indexed="8"/>
            <rFont val="Helvetica Neue"/>
          </rPr>
          <t>Biemann, Christian A.:
Die Person kann sich an Beschäftigungen beteiligen, aber nur mit (kontinuierlicher) Anleitung, Begleitung oder motorischer Unterstützung.</t>
        </r>
      </text>
    </comment>
    <comment ref="R15" authorId="0">
      <text>
        <r>
          <rPr>
            <sz val="11"/>
            <color indexed="8"/>
            <rFont val="Helvetica Neue"/>
          </rPr>
          <t>Biemann, Christian A.:
Die Person kann an der Entscheidung oder Durchführung nicht nennenswert mitwirken. Sie zeigt keine Eigeninitiative, kann Anleitungen und Aufforderungen nicht kognitiv umsetzen, beteiligt sich nicht oder nur minimal an angebotenen Beschäftigungen.</t>
        </r>
      </text>
    </comment>
    <comment ref="D16" authorId="1">
      <text>
        <r>
          <rPr>
            <sz val="11"/>
            <color indexed="8"/>
            <rFont val="Helvetica Neue"/>
          </rPr>
          <t>Anja:
Längere Zeitabschnitte überschauend über den Tag hinausplanen
Dies kann beispielsweise anhand der Frage beurteilt werden, ob Vorstellungen oder Wünsche zu anstehenden Festlichkeiten wie Geburtstag oder Jahresfeste bestehen, ob die Zeitabläufe eingeschätzt werden können, z. B. vorgegebene Strukturen wie regelmäßige Termine nachvollzogen werden können, oder ob die körperlichen Fähigkeiten vorhanden sind, um eigene Zukunftsplanungen mit anderen Menschen kommunizieren zu können. Es ist auch zu berücksichtigen, wenn stark ausgeprägte psychische Problemlagen (z. B. Ängste) es verhindern, sich mit Fragen des zukünftigen Handelns auseinanderzusetzen.</t>
        </r>
      </text>
    </comment>
    <comment ref="L16" authorId="1">
      <text>
        <r>
          <rPr>
            <sz val="11"/>
            <color indexed="8"/>
            <rFont val="Helvetica Neue"/>
          </rPr>
          <t>Anja:
Die Person kann die beschriebene Aktivität ohne personelle Hilfe
durchführen.</t>
        </r>
      </text>
    </comment>
    <comment ref="N16" authorId="1">
      <text>
        <r>
          <rPr>
            <sz val="11"/>
            <color indexed="8"/>
            <rFont val="Helvetica Neue"/>
          </rPr>
          <t>Anja:
Die Person nimmt sich etwas vor, muss aber erinnert werden, dies auch durchzuführen. Oder sie benötigt infolge körperlicher Beeinträchtigungen regelmäßig Hilfe im Bereich der Kommunikation, um sich mit anderen Menschen verabreden zu können.</t>
        </r>
      </text>
    </comment>
    <comment ref="P16" authorId="0">
      <text>
        <r>
          <rPr>
            <sz val="11"/>
            <color indexed="8"/>
            <rFont val="Helvetica Neue"/>
          </rPr>
          <t>Biemann, Christian A.:
Die Person plant von sich aus nicht, entscheidet aber mit Unterstützung durch andere Personen. Sie muss an die Umsetzung der eigenen Entscheidungen erinnert werden oder benötigt bei der Umsetzung emotionale oder körperliche Unterstützung. Überwiegend unselbständig ist daher auch eine Person, die zwar kognitiv in der Lage ist, selbständig zu planen und zu entscheiden, aber so stark somatisch beeinträchtigt ist, dass sie für alle Umsetzungsschritte personelle Hilfe benötigt.</t>
        </r>
      </text>
    </comment>
    <comment ref="R16" authorId="0">
      <text>
        <r>
          <rPr>
            <sz val="11"/>
            <color indexed="8"/>
            <rFont val="Helvetica Neue"/>
          </rPr>
          <t>Biemann, Christian A.:
Die Person verfügt nicht über Zeitvorstellungen für Planungen über den Tag hinaus, auch bei Vorgabe von Auswahloptionen wird weder Zustimmung noch Ablehnung signalisiert.</t>
        </r>
      </text>
    </comment>
    <comment ref="D17" authorId="1">
      <text>
        <r>
          <rPr>
            <sz val="11"/>
            <color indexed="8"/>
            <rFont val="Helvetica Neue"/>
          </rPr>
          <t>Anja:
Im direkten Kontakt mit Angehörigen, Pflegepersonen, Mitbewohnern oder Besuchern umgehen, Kontakt aufnehmen, Personen ansprechen, auf Ansprache reagieren.</t>
        </r>
      </text>
    </comment>
    <comment ref="L17" authorId="1">
      <text>
        <r>
          <rPr>
            <sz val="11"/>
            <color indexed="8"/>
            <rFont val="Helvetica Neue"/>
          </rPr>
          <t>Anja:
Die Person kann die beschriebene Aktivität ohne personelle Hilfe
durchführen.</t>
        </r>
      </text>
    </comment>
    <comment ref="N17" authorId="1">
      <text>
        <r>
          <rPr>
            <sz val="11"/>
            <color indexed="8"/>
            <rFont val="Helvetica Neue"/>
          </rPr>
          <t>Anja:
Umgang mit bekannten Personen erfolgt selbständig, zur Kontaktaufnahme mit Fremden ist Unterstützung erforderlich, z. B. Anregung, zu einer neuen Mitbewohnerin oder einem neuen Mitbewohner Kontakt aufzunehmen oder punktuelle Unterstützung bei der Überwindung von Sprech-, Sprach- und Hörproblemen.</t>
        </r>
      </text>
    </comment>
    <comment ref="P17" authorId="0">
      <text>
        <r>
          <rPr>
            <sz val="11"/>
            <color indexed="8"/>
            <rFont val="Helvetica Neue"/>
          </rPr>
          <t>Biemann, Christian A.:
Die Person ergreift von sich aus kaum Initiative. Sie muss angesprochen oder motiviert werden, reagiert aber verbal oder deutlich erkennbar durch andere Formen der Kommunikation (Blickkontakt, Mimik, Gestik). Überwiegend unselbständig ist auch eine Person, die auf weitgehende Unterstützung bei der Überwindung von Sprech-, Sprach- oder Hörproblemen angewiesen ist.</t>
        </r>
      </text>
    </comment>
    <comment ref="R17" authorId="0">
      <text>
        <r>
          <rPr>
            <sz val="11"/>
            <color indexed="8"/>
            <rFont val="Helvetica Neue"/>
          </rPr>
          <t>Biemann, Christian A.:
Die Person reagiert nicht auf Ansprache. Auch nonverbale Kontaktversuche, z. B. Berührungen, führen zu keiner nennenswerten Reaktion.</t>
        </r>
      </text>
    </comment>
    <comment ref="D18" authorId="1">
      <text>
        <r>
          <rPr>
            <sz val="11"/>
            <color indexed="8"/>
            <rFont val="Helvetica Neue"/>
          </rPr>
          <t>Anja:
Bestehende Kontakte zu Freunden, Bekannten, Nachbarn aufrechterhalten, beenden oder zeitweise ablehnen Dazu gehört auch die Fähigkeit, mit technischen Kommunikationsmitteln wie Telefon umgehen zu können, z. B. Besuche verabreden oder Telefon- oder Brief- oder Mail-Kontakte.</t>
        </r>
      </text>
    </comment>
    <comment ref="L18" authorId="1">
      <text>
        <r>
          <rPr>
            <sz val="11"/>
            <color indexed="8"/>
            <rFont val="Helvetica Neue"/>
          </rPr>
          <t>Anja:
Die Person kann die beschriebene Aktivität ohne personelle Hilfe
durchführen.</t>
        </r>
      </text>
    </comment>
    <comment ref="N18" authorId="1">
      <text>
        <r>
          <rPr>
            <sz val="11"/>
            <color indexed="8"/>
            <rFont val="Helvetica Neue"/>
          </rPr>
          <t>Anja:
Die Person kann planen, braucht aber Hilfe beim Umsetzen wie z. B.  rinnerungszettel bereitlegen oder Telefonnummern mit Namen oder mit Bild versehen, Erinnern und Nachfragen, ob Kontakt hergestellt wurde, oder Erinnern an Terminabsprachen. Pflegeperson wählt die Telefonnummer, die Person führt dann das Gespräch; oder die Person beauftragt die Pflegeperson, ein Treffen mit Freunden, Bekannten zu verabreden.</t>
        </r>
      </text>
    </comment>
    <comment ref="P18" authorId="0">
      <text>
        <r>
          <rPr>
            <sz val="11"/>
            <color indexed="8"/>
            <rFont val="Helvetica Neue"/>
          </rPr>
          <t>Biemann, Christian A.:
Die Kontaktgestaltung der Person ist eher reaktiv. Sie sucht von sich aus kaum Kontakt, wirkt aber mit, wenn beispielsweise die Pflegeperson die Initiative ergreift. Überwiegend unselbständig ist auch, wer aufgrund von somatischen Beeinträchtigungen während der Kontaktaufnahme personelle Unterstützung durch die Bezugsperson, z. B. bei der Nutzung von Kommunikationshilfen (Telefon halten) oder bei der Überwindung von Sprech-, Sprach- oder Hörproblemen, benötigt.</t>
        </r>
      </text>
    </comment>
    <comment ref="R18" authorId="0">
      <text>
        <r>
          <rPr>
            <sz val="11"/>
            <color indexed="8"/>
            <rFont val="Helvetica Neue"/>
          </rPr>
          <t>Biemann, Christian A.:
Die Person nimmt keinen Kontakt außerhalb des direkten Umfeldes auf und reagiert nicht auf Anregungen zur Kontaktaufnahme.</t>
        </r>
      </text>
    </comment>
  </commentList>
</comments>
</file>

<file path=xl/comments7.xml><?xml version="1.0" encoding="utf-8"?>
<comments xmlns="http://schemas.openxmlformats.org/spreadsheetml/2006/main">
  <authors>
    <author>Biemann, Christian A.</author>
  </authors>
  <commentList>
    <comment ref="C10" authorId="0">
      <text>
        <r>
          <rPr>
            <sz val="11"/>
            <color indexed="8"/>
            <rFont val="Helvetica Neue"/>
          </rPr>
          <t>Biemann, Christian A.:
Pflegegrad
Zur Feststellung von Pflegebedürftigkeit hat die Gutachterin bzw. der Gutachter einzuschätzen, ob gesundheitlich bedingte Beeinträchtigungen der Selbständigkeit oder der Fähigkeiten vorliegen und deshalb Hilfe durch andere notwendig ist. Hierbei ist zu prüfen, ob körperliche, kognitive oder psychische Beeinträchtigungen oder gesundheitlich bedingte Belastungen bestehen, die nicht selbständig kompensiert oder bewältigt werden können.
Die Einschätzung gründet sich auf der Bewertung der Beeinträchtigungen der Selbständigkeit und der Fähigkeiten in den Bereichen Mobilität, kognitive und kommunikative Fähigkeiten, Verhaltensweisen und psychische Problemlagen, Selbstversorgung, Bewältigung von und selbständiger Umgang mit krankheits- oder therapiebedingten Anforderungen sowie Gestaltung des Alltagslebens und sozialer Kontakte, dem Vorliegen einer besonderen Bedarfskonstellation und der Bewertung der Dauer des aus Modul 1 bis 6 resultierenden notwendigen personellen Unterstützungsbedarfs über mindestens sechs Monate.
Die Einzelergebnisse der gutachterlichen Einschätzung werden gemäß den in § 15 SGB XI festgelegten Berechnungsregeln zusammengeführt. Dabei wird für jedes Modul sowohl ein Summenwert als auch ein gewichteter Punktwert ermittelt.
Der gewichtete Punktwert ergibt sich gemäß § 15 SGB XI aus der Überführung des Summenwertes pro Modul in eine fünfstufige Skala, die das Ausmaß der Beeinträchtigung in dem jeweiligen Modul widerspiegelt, und der Gewichtung, mit der jedes Modul in die Gesamtbewertung eingeht:
– Modul 1: Mobilität = 10 Prozent
– Modul 2: Kognitive und kommunikative Fähigkeiten/Modul 3: Verhaltensweisen und psychische Problemlagen = 15 Prozent
– Modul 4: Selbstversorgung = 40 Prozent
– Modul 5: Bewältigung von und selbständiger Umgang mit krankheits- oder therapiebedingten Anforderungen und Belastungen = 20 Prozent
– Modul 6: Gestaltung des Alltagslebens und sozialer Kontakte = 15 Prozent</t>
        </r>
      </text>
    </comment>
    <comment ref="E13" authorId="0">
      <text>
        <r>
          <rPr>
            <sz val="11"/>
            <color indexed="8"/>
            <rFont val="Helvetica Neue"/>
          </rPr>
          <t>Biemann, Christian A.:
Die Einschätzung richtet sich ausschließlich danach, ob die Person in der Lage ist, ohne personelle Unterstützung eine Körperhaltung einzunehmen/zu wechseln und sich fortzubewegen. Zu beurteilen sind hier lediglich Aspekte wie Körperkraft, Balance, Bewegungskoordination etc. und nicht die zielgerichtete Fortbewegung. Hier werden nicht die Folgen kognitiver Beeinträchtigungen auf Planung, Steuerung und Durchführung motorischer Handlungen abgebildet.</t>
        </r>
      </text>
    </comment>
    <comment ref="E14" authorId="0">
      <text>
        <r>
          <rPr>
            <sz val="11"/>
            <color indexed="8"/>
            <rFont val="Helvetica Neue"/>
          </rPr>
          <t>Biemann, Christian A.:
Die Einschätzung bezieht sich bei den Merkmalen 4.2.1 bis 4.2.8 ausschließlich auf die kognitiven Funktionen und Aktivitäten. Zu beurteilen sind hier lediglich Aspekte wie Erkennen, Entscheiden oder Steuern etc. und nicht die motorische Umsetzung.
Bei den Kriterien zur Kommunikation 4.2.9 bis 4.2.11 sind auch die Auswirkungen von Hör-, Sprech- oder Sprachstörungen zu berücksichtigen.
Für diesen Bereich gilt eine ähnliche Graduierung wie im Falle der Selbständigkeit (vierstufige Skala). Der Unterschied liegt darin, dass hier keine Aktivität, sondern eine geistige Funktion beurteilt wird. Für die Bewertung ist unerheblich, ob ein zuvor selbständiger Erwachsener eine Fähigkeit verloren hat oder nie ausgebildet hat. Die Bewertungsskala umfasst folgende Ausprägungen:
0 = Fähigkeit vorhanden, unbeeinträchtigt
Die Fähigkeit ist (nahezu) vollständig vorhanden
1 = Fähigkeit größtenteils vorhanden
Die Fähigkeit ist überwiegend (die meiste Zeit über, in den meisten Situationen), aber nicht durchgängig vorhanden. Die Person hat Schwierigkeiten, höhere oder komplexere Anforderungen zu bewältigen.
2 = Fähigkeit in geringem Maße vorhanden
Die Fähigkeit ist stark beeinträchtigt, aber erkennbar vorhanden. Die Person hat häufig oder in vielen Situationen Schwierigkeiten. Sie kann nur geringe Anforderungen bewältigen. Es sind Ressourcen vorhanden.
3 = Fähigkeit nicht vorhanden
Die Fähigkeit ist nicht oder nur in sehr geringem Maße (sehr selten) vorhanden.</t>
        </r>
      </text>
    </comment>
    <comment ref="E15" authorId="0">
      <text>
        <r>
          <rPr>
            <sz val="11"/>
            <color indexed="8"/>
            <rFont val="Helvetica Neue"/>
          </rPr>
          <t>Biemann, Christian A.:
In diesem Modul geht es um Verhaltensweisen und psychische Problemlagen als Folge von Gesundheitsproblemen, die immer wieder auftreten und personelle Unterstützung erforderlich machen. Es geht hier um Unterstützung des pflegebedürftigen Menschen
– bei der Bewältigung von belastenden Emotionen (wie z. B. Panikattacken),
– beim Abbau psychischer Spannungen,
– bei der Impulssteuerung,
– bei der Förderung positiver Emotionen durch Ansprache oder körperliche Berührung,
– bei der Vermeidung von Gefährdungen im Lebensalltag,
– bei Tendenz zu selbstschädigendem Verhalten.
Im Mittelpunkt dieses Moduls steht die Frage, inwieweit die Person ihr Verhalten ohne personelle Unterstützung steuern kann. Von fehlender Selbststeuerung ist auch dann auszugehen, wenn ein Verhalten zwar nach Aufforderung abgestellt wird, aber danach immer wieder aufs Neue auftritt, weil das Verbot nicht verstanden wird oder die Person sich nicht erinnern kann.
Abzugrenzen sind hier gezielte herausfordernde Verhaltensweisen, z. B. im Rahmen von Beziehungsproblemen, die nicht zu berücksichtigen sind.
Anders als in den übrigen Modulen sind die Kriterien nicht abschließend definiert, sondern beispielhaft erläutert. Manche Verhaltensweisen lassen sich nicht eindeutig nur einem Kriterium zuordnen, z. B. Beschimpfungen zu verbaler Aggression (F 4.3.6) oder zu anderen pflegerelevanten vokalen Auffälligkeiten (F 4.3.7), oder treten in Kombination auf. Ausschlaggebend ist, ob und wie oft die Verhaltensweisen eine personelle Unterstützung notwendig machen. Bei Kombination verschiedener Verhaltensweisen wird die Häufigkeit von Ereignissen mit personellem Unterstützungsbedarf nur einmal erfasst, z. B. wird nächtliche Unruhe bei Angstzuständen entweder unter Punkt F 4. 3.2 oder unter Punkt F 4.3.10 bewertet.
Es werden folgende Häufigkeiten erfasst:
0 = nie oder sehr selten
1 = selten, d.h. ein- bis dreimal innerhalb von zwei Wochen
3 = häufig, d.h. zweimal bis mehrmals wöchentlich, aber nicht täglich
5 = täglich</t>
        </r>
      </text>
    </comment>
    <comment ref="E16" authorId="0">
      <text>
        <r>
          <rPr>
            <sz val="11"/>
            <color indexed="8"/>
            <rFont val="Helvetica Neue"/>
          </rPr>
          <t>Biemann, Christian A.:
Angaben zur Versorgung Zu diesem Modul werden zunächst besondere Bedarfsaspekte erfasst. Dazu gehören die parenterale Ernährung oder die Ernährung über eine Sonde, die künstliche Harn- oder Stuhlableitung sowie Störungen der Blasen- und Darmkontrolle in ihren Ausprägungsgraden.
Ernährung parenteral oder über Sonde
Es ist anzugeben, ob die Ernährung parenteral z. B. über einen Port, über eine perkutane endoskopische Gastrostomie (PEG), eine perkutane endoskopische Jejunostomie (PEJ) oder eine nasale Magensonde, sowie ob sie über Pumpe, Schwerkraft oder als Bolusgabe erfolgt.
Blasenkontrolle/Harnkontinenz
Gemeint ist hier, Harndrang zu verspüren und so rechtzeitig zu äußern, dass die Blasenentleerung geregelt werden kann. Jegliche Art von unwillkürlichem Harnabgang ist zu berücksichtigen, unabhängig von der Ursache. Zu erfassen ist hier vorrangig die Kontrolle der Blasenentleerung, die Steuerung der Blasenentleerung, die Vermeidung unwillkürlicher Harnabgänge, ggf. mit personeller Hilfe.
Es sind folgende Merkmalsausprägungen vorgesehen:
Ständig kontinent: Keine unwillkürlichen Harnabgänge.
Überwiegend kontinent: Maximal einmal täglich unwillkürlicher Harnabgang oder Tröpfcheninkontinenz.
Überwiegend inkontinent: Mehrmals täglich unwillkürliche Harnabgänge, aber gesteuerte Blasenentleerung ist noch teilweise möglich.
Komplett inkontinent: Die Person ist komplett harninkontinent. Gesteuerte Blasenentleerung ist nicht möglich.
Alternativ anzugeben ist, ob ein suprapubischer oder transurethraler Dauerkatheter oder Urostoma vorhanden ist. Einmalkatheterisieren ist nicht hier, sondern unter Punkt F 4.5.10 zu berücksichtigen, hier ist anzugeben, ob und in welchem Umfang daneben eine Inkontinenz besteht.
Darmkontrolle, Stuhlkontinenz
Gemeint ist, Stuhldrang zu verspüren und so rechtzeitig zu äußern, dass die Darmentleerung geregelt werden kann. Zu bewerten ist hier die Vermeidung unwillkürlicher Stuhlabgänge, ggf. mit personeller Hilfe.
Es sind folgende Merkmalsausprägungen vorgesehen:
Ständig kontinent: Keine unwillkürlichen Stuhlabgänge.
Überwiegend kontinent: Die Person ist überwiegend stuhlkontinent, gelegentlich unwillkürliche Stuhlabgänge oder nur geringe Stuhlmengen sogenannte Schmierstühle.
Überwiegend inkontinent: Die Person ist überwiegend stuhlinkontinent, selten gesteuerte Darmentleerung möglich.
Komplett inkontinent: Die Person ist komplett stuhlinkontinent, gesteuerte Darmentleerung ist nicht möglich.
Alternativ anzugeben ist, ob ein Colo-, Ileostoma vorhanden ist.
Bewertung der Selbständigkeit
Zu bewerten ist, ob die untersuchte Person die jeweilige Aktivität praktisch durchführen kann.
Es ist unerheblich, ob die Beeinträchtigungen der Selbständigkeit aufgrund von Schädigungen somatischer oder mentaler Funktionen bestehen oder ob Teilaspekte bereits in anderen Modulen berücksichtigt worden sind.</t>
        </r>
      </text>
    </comment>
    <comment ref="E17" authorId="0">
      <text>
        <r>
          <rPr>
            <sz val="11"/>
            <color indexed="8"/>
            <rFont val="Helvetica Neue"/>
          </rPr>
          <t>Biemann, Christian A.:
Der Bereich „Bewältigung von und selbständiger Umgang mit krankheits- oder therapiebedingten Anforderungen und Belastungen“ erfasst im Rahmen der Begutachtung vom bisherigen Pflegebedürftigkeitsbegriff nicht berücksichtigte Aktivitäten und Fähigkeiten. Sie sind dem Themenkreis der selbständigen Krankheitsbewältigung zuzuordnen, und zwar insbesondere der „krankheitsbezogenen Arbeit“, die direkt auf die Kontrolle von Erkrankungen und Symptomen sowie auf die Durchführung therapeutischer Interventionen bezogen ist. Hierbei geht es ausdrücklich nicht darum, den Bedarf an Maßnahmen der häuslichen Krankenpflege bzw. Behandlungspflege nach dem Fünften Buch einzuschätzen. Insoweit gilt § 13 Absatz 2 SGB XI. Diese Leistungen werden auch weiterhin in der häuslichen Versorgung von der gesetzlichen Krankenversicherung erbracht; in der vollstationären Versorgung im Rahmen des § 43 SGB XI von der Pflegeversicherung. Ein Großteil der hier aufgeführten Maßnahmen und Handlungen kann von erkrankten Personen eigenständig durchgeführt werden, sofern sie über die dazu nötigen Ressourcen verfügen, d. h. über körperliche und kognitive Fähigkeiten, spezifische Fertigkeiten, Motivation, Kenntnisse u. a. m. Dies gilt auch für Maßnahmen, die nur selten von den Erkrankten selbst durchgeführt werden, wie z. B. das Absaugen von Sekret oder die regelmäßige Einmalkatheterisierung. Mit dem Bereich ist daher häufig ein Hilfebedarf bei der Anleitung und Motivation oder Schulung verknüpft.
Angaben zur Versorgung
Zu diesem Modul werden zunächst die Bedarfsaspekte erfasst. Hier sind alle ärztlich angeordneten Maßnahmen nach Art und Häufigkeit aufzunehmen, auch wenn sie nur vorübergehend, d. h. für weniger als sechs Monate, erforderlich sind und deshalb nicht in die Bewertung eingehen.
Angaben zur ärztlichen und medikamentösen Versorgung
Dazu gehören Angaben zur ärztlichen und fachärztlichen Versorgung. Dabei sind die Art des Arztkontaktes (Haus- oder Praxisbesuch) und die Häufigkeit zu dokumentieren, auch wenn diese seltener als einmal monatlich erforderlich sind. Bei Praxisbesuchen ist anzugeben, ob die Person die Praxis selbständig oder in Begleitung aufsucht. Es ist auch die aktuelle medikamentöse Therapie zu erfragen. Aus der Sichtung der Medikamente können ggf. Informationen zu Art und Schwere der Erkrankung abgeleitet werden. Ausreichend ist die Dokumentation der Häufigkeit der Einnahme und der Art der Verabreichung, z. B. selbständig, Richten erforderlich.
Angaben zur laufenden Heilmitteltherapie
Anzugeben sind Art (physikalische Therapie, Ergotherapie, Stimm-, Sprech- und Sprachtherapie, podologische Therapie), Häufigkeit (wie oft pro Woche oder – wenn seltener – pro Monat) sowie ggf. die Dauer der Heilmittelversorgung. Es ist anzugeben, ob die Person die therapeutische Praxis selbständig oder in Begleitung aufsucht oder ob die Therapeutin bzw. der Therapeut zur Behandlung ins Haus kommt.
Angaben zur behandlungspflegerischen und zu anderen therapeutischen Maßnahmen
Ärztlich angeordnete behandlungspflegerische und therapeutische Maßnahmen sind nach Art, Häufigkeit und Dauer anzugeben, unabhängig davon, wer diese Leistungen erbringt. Insbesondere ist anzugeben, ob spezielle Krankenbeobachtung (Position 24 der Richtlinie des Gemeinsamen Bundesausschusses über die Verordnung von häuslicher Krankenpflege – HKP-Richtlinie) durch einen ambulanten Pflegedienst oder gemäß § 37 Abs. 2 Satz 3 SGB V in einer zugelassenen Pflegeeinrichtung erbracht wird.
Bewertung
In die Bewertung gehen nur die ärztlich angeordneten Maßnahmen ein, die gezielt auf eine bestehende Erkrankung ausgerichtet und für voraussichtlich mindestens sechs Monate erforderlich sind. Die ärztliche Anordnung kann sich auch auf nicht verschreibungspflichtige Medikamente oder äußerliche Anwendungen oder Übungsbehandlungen beziehen.
Zu bewerten ist, ob die Person die jeweilige Aktivität praktisch durchführen kann. Ist dies nicht der Fall, wird die Häufigkeit der erforderlichen Hilfe durch andere Personen dokumentiert (Anzahl pro Tag/pro Woche/pro Monat). Es ist unerheblich, ob die personelle Unterstützung durch Pflegepersonen oder Pflege(fach-)kräfte erfolgt, und auch, ob sie gemäß § 37 SGB V verordnet und abgerechnet wird.
Zu jedem Kriterium ist nur ein Eintrag möglich:
Entfällt oder selbständig oder Häufigkeit der Hilfe mit einer vollen Zahl pro Tag, pro Woche oder pro Monat. Ggf. ist von Tag auf Woche oder auf Monat umzurechnen. Zur Umrechnung von Woche auf Monat werden wöchentliche Maßnahmen mit vier multipliziert.
Erfolgt eine Medikation z. B. jeden zweiten Tag, so kann man diese Frequenz nur mit 15  pro Monat darstellen.
Werden zweimal täglich Insulin-Injektionen gegeben und zweimal wöchentlich zusätzlich andere Injektionen, ist umzurechnen auf die Woche. Es erfolgt der Eintrag 16 x pro Woc</t>
        </r>
      </text>
    </comment>
    <comment ref="E18" authorId="0">
      <text>
        <r>
          <rPr>
            <sz val="11"/>
            <color indexed="8"/>
            <rFont val="Helvetica Neue"/>
          </rPr>
          <t>Biemann, Christian A.:
Zu bewerten ist, ob die Person die jeweilige Aktivität praktisch durchführen kann. Es ist unerheblich, ob die Beeinträchtigungen der Selbständigkeit aufgrund von Schädigungen somatischer oder mentaler Funktionen bestehen oder ob Teilaspekte bereits in anderen Modulen berücksichtigt worden sind.</t>
        </r>
      </text>
    </comment>
  </commentList>
</comments>
</file>

<file path=xl/sharedStrings.xml><?xml version="1.0" encoding="utf-8"?>
<sst xmlns="http://schemas.openxmlformats.org/spreadsheetml/2006/main" uniqueCount="621">
  <si>
    <t>Dieses Dokument wurde aus Numbers exportiert und jede Tabelle in ein Excel-Arbeitsblatt umgewandelt. Alle anderen Objekte der einzelnen Numbers-Blätter wurden auf eigene Arbeitsblätter übertragen. Beachte, dass die Formelberechnungen in Excel möglicherweise anders sind.</t>
  </si>
  <si>
    <t>Name des Numbers-Blatts</t>
  </si>
  <si>
    <t>Numbers-Tabellenname</t>
  </si>
  <si>
    <t>Name des Excel-Arbeitsblatts</t>
  </si>
  <si>
    <t>Kap. 1, 2, 3</t>
  </si>
  <si>
    <t>Tabelle 1</t>
  </si>
  <si>
    <t>Navigation</t>
  </si>
  <si>
    <t>Formulargutachten zur Feststellung der Pflegebedürftigkeit (Erwachsene)</t>
  </si>
  <si>
    <t>Versicherter:</t>
  </si>
  <si>
    <t xml:space="preserve"> </t>
  </si>
  <si>
    <t>Geburtsdatum:</t>
  </si>
  <si>
    <t>Datum der Bearbeitung:</t>
  </si>
  <si>
    <t>Allgemeines und Stammdaten</t>
  </si>
  <si>
    <t>Datum der Bearbeitung</t>
  </si>
  <si>
    <t>Erstellerin/Ersteller des Formulars</t>
  </si>
  <si>
    <t>Name:</t>
  </si>
  <si>
    <t>Vorname:</t>
  </si>
  <si>
    <t>Adressfeld: Auftraggeber (Pflegekasse)</t>
  </si>
  <si>
    <t>Straße:</t>
  </si>
  <si>
    <t>Haus-Nr.:</t>
  </si>
  <si>
    <t>PLZ:</t>
  </si>
  <si>
    <t>Ort:</t>
  </si>
  <si>
    <t>Versicherte/Versicherter</t>
  </si>
  <si>
    <t>Adressfeld: Versicherte/Versicherter</t>
  </si>
  <si>
    <t>abweichende Aufenthaltsadresse</t>
  </si>
  <si>
    <t>Anlass des Antrags/Auftrags</t>
  </si>
  <si>
    <t>Auswahlmenü</t>
  </si>
  <si>
    <t>Art des Antrags/Gutachtenart</t>
  </si>
  <si>
    <t>Antragsdatum</t>
  </si>
  <si>
    <t xml:space="preserve">Eingang des Auftrags beim MDK </t>
  </si>
  <si>
    <t>Bisheriger Pflegegrad</t>
  </si>
  <si>
    <t>seit:</t>
  </si>
  <si>
    <t>bis:</t>
  </si>
  <si>
    <t>Verzögerungen im Verfahren</t>
  </si>
  <si>
    <t>Antragstellende Person befindet sich im Krankenhaus oder in einer Rehabilitationseinrichtung</t>
  </si>
  <si>
    <t>Wichtiger Behandlungstermin der antragstellenden Person</t>
  </si>
  <si>
    <t>Termin wurde von antragstellender Person abgesagt (sonstige Gründe)</t>
  </si>
  <si>
    <t>Antragstellende Person ist umgezogen</t>
  </si>
  <si>
    <t>Antragstellende Person wohnt im Ausland</t>
  </si>
  <si>
    <t>Antragstellende Person ist verstorben</t>
  </si>
  <si>
    <t>Antragstellende Person wurde beim angekündigten Hausbesuch nicht angetroffen</t>
  </si>
  <si>
    <t>Hausbesuch musste abgebrochen werden wegen Gewaltandrohung oder ähnlich schwerwiegender Gründe</t>
  </si>
  <si>
    <t>Hausbesuch musste abgebrochen werden wegen Verständigungsschwierigkeiten (z. B. Muttersprache)</t>
  </si>
  <si>
    <t>Erläuterungen:</t>
  </si>
  <si>
    <t>Begutachtung am:</t>
  </si>
  <si>
    <t>Uhrzeit:</t>
  </si>
  <si>
    <t>Durch Gutachterin/Gutachter</t>
  </si>
  <si>
    <t xml:space="preserve">Berufsbezeichnung: </t>
  </si>
  <si>
    <t>Erledigungsart</t>
  </si>
  <si>
    <t>Erledigungsort</t>
  </si>
  <si>
    <t>Kapitel 1 Pflegerelevante Vorgeschichte und derzeitige Versorgungssituation</t>
  </si>
  <si>
    <t>Nach Angaben:</t>
  </si>
  <si>
    <t>Funktion:</t>
  </si>
  <si>
    <t>1.</t>
  </si>
  <si>
    <t>1.1</t>
  </si>
  <si>
    <t>Pflegerelevante Fremdbefunde</t>
  </si>
  <si>
    <t>1.2</t>
  </si>
  <si>
    <t>Pflegerelevante Vorgeschichte (Anamnese), medizinische und pflegerische Angaben unter Berücksichtigung der Auswirkungen auf die Selbständigkeit oder die Fähigkeiten</t>
  </si>
  <si>
    <t>Leistungen der medizinischen Rehabilitation</t>
  </si>
  <si>
    <t>keine</t>
  </si>
  <si>
    <t>im letzten Jahr vor der Begutachtung</t>
  </si>
  <si>
    <t>mehr als ein Jahr, aber weniger als vier Jahre vor der Begutachtung</t>
  </si>
  <si>
    <t>ambulant</t>
  </si>
  <si>
    <t>mobil (im gewohnten oder ständigen Wohnumfeld)</t>
  </si>
  <si>
    <t>stationär</t>
  </si>
  <si>
    <t>geriatrische Rehabilitation (inkl. geriatrische frührehabilitative Komplexbehandlung im Krankenhaus)</t>
  </si>
  <si>
    <t>indikationsspezifische, z. B. neurologische, orthopädische, kardiologische Rehabilitation:</t>
  </si>
  <si>
    <t>Ist aktuell ein Rehabilitationsantrag gestellt?</t>
  </si>
  <si>
    <t>1.3</t>
  </si>
  <si>
    <t>Vorhandene Hilfsmittel, Pflegehilfsmittel, Nutzung</t>
  </si>
  <si>
    <t>1.4</t>
  </si>
  <si>
    <t>Pflegerelevante Aspekte der Versorgungs- und Wohnsituation</t>
  </si>
  <si>
    <t>Antragstellende Person lebt in</t>
  </si>
  <si>
    <t>einer vollstationären Pflegeeinrichtung</t>
  </si>
  <si>
    <t>Leistungserbringer:</t>
  </si>
  <si>
    <t>einer stationären Einrichtung nach § 43a SGB XI</t>
  </si>
  <si>
    <t>Die antragstellende Person wohnt teilweise zu Hause:</t>
  </si>
  <si>
    <t>ambulanter Wohnsituation alleine</t>
  </si>
  <si>
    <t>ambulanter Wohnsituation mit folgenden Personen:</t>
  </si>
  <si>
    <t>einer ambulant betreuten Wohngruppe mit mindestens zwei weiteren pflegebedürftigen Personen</t>
  </si>
  <si>
    <t>Pflege durch Pflegeeinrichtung(en) nach SGB XI</t>
  </si>
  <si>
    <t>Tages-/Nachtpflege</t>
  </si>
  <si>
    <t>Kurzzeitpflege</t>
  </si>
  <si>
    <t>Angebote zur Unterstützung im Alltag nach § 45a SGB XI</t>
  </si>
  <si>
    <t>Die antragstellende Person besucht tagsüber eine Werkstatt für behinderte Menschen/eine Schule</t>
  </si>
  <si>
    <t>Beschreibung der aktuellen Versorgungssituation</t>
  </si>
  <si>
    <t>Präsenz der Pflegeperson(en) in Rufnähe am Tage</t>
  </si>
  <si>
    <t>Nächtliche Unterstützung</t>
  </si>
  <si>
    <t>Angaben zum Pflegeaufwand durch antragstellende Person oder Pflegepersonen</t>
  </si>
  <si>
    <t>Mindeststundenzahl von 10 Stunden wöchentlich, verteilt auf regelmäßig mindestens 2 Tage in der Woche, wird nicht erreicht:</t>
  </si>
  <si>
    <t>Pflege durch</t>
  </si>
  <si>
    <t>Angegebene Pflegetage pro Woche</t>
  </si>
  <si>
    <t>Angegebene Pflegestunden pro Woche</t>
  </si>
  <si>
    <t>Angegebene Anzahl weiterer durch die Pflegeperson gepflegter Pflegebedürftige</t>
  </si>
  <si>
    <t>Name, Vorname:</t>
  </si>
  <si>
    <t>Geschlecht:</t>
  </si>
  <si>
    <t>Adresse:</t>
  </si>
  <si>
    <t>Telefon:</t>
  </si>
  <si>
    <t>Beschreibung der Wohnsituation (nur ambulant)</t>
  </si>
  <si>
    <t>Kapitel 2 Gutachterlicher Befund</t>
  </si>
  <si>
    <t>Kapitel 3 Pflegebegründende Diagnose(n)</t>
  </si>
  <si>
    <t>ICD10</t>
  </si>
  <si>
    <t>Weitere Diagnosen:</t>
  </si>
  <si>
    <t>Modul 1</t>
  </si>
  <si>
    <r>
      <rPr>
        <sz val="11"/>
        <color indexed="8"/>
        <rFont val="Calibri"/>
      </rPr>
      <t xml:space="preserve"> </t>
    </r>
  </si>
  <si>
    <t>Kapitel 4 Module des Begutachtungsinstruments</t>
  </si>
  <si>
    <t>Modul 1 Mobilität</t>
  </si>
  <si>
    <t>Kriterien</t>
  </si>
  <si>
    <t>selbstständig</t>
  </si>
  <si>
    <t>überwiegend selbstständig</t>
  </si>
  <si>
    <t>überwiegend unselbst-ständig</t>
  </si>
  <si>
    <t>unselbst-ständig</t>
  </si>
  <si>
    <t>Punkte</t>
  </si>
  <si>
    <t>Positionswechsel im Bett</t>
  </si>
  <si>
    <t>Halten einer stabilen Sitzposition</t>
  </si>
  <si>
    <t>Umsetzen</t>
  </si>
  <si>
    <t>Fortbewegen innerhalb des Wohnbereichs</t>
  </si>
  <si>
    <t>1.5</t>
  </si>
  <si>
    <t>Treppensteigen</t>
  </si>
  <si>
    <t>Erläuterung:</t>
  </si>
  <si>
    <t>1.6</t>
  </si>
  <si>
    <t>Besondere Bedarfskonstellation*</t>
  </si>
  <si>
    <t>Einzelpunkte</t>
  </si>
  <si>
    <t>gewichtete Punkte</t>
  </si>
  <si>
    <t>Zuordnung der Punkte</t>
  </si>
  <si>
    <t>0 - 1</t>
  </si>
  <si>
    <t>2 - 3</t>
  </si>
  <si>
    <t>4 - 5</t>
  </si>
  <si>
    <t>6 - 9</t>
  </si>
  <si>
    <t>10 - 15</t>
  </si>
  <si>
    <t>Gewichtete Punkte</t>
  </si>
  <si>
    <t>Modul 2</t>
  </si>
  <si>
    <t>Modul 2 Kognitive und kommunikative Fähigkeiten</t>
  </si>
  <si>
    <t>vorhanden/ unbeein-trächtigt</t>
  </si>
  <si>
    <t>größtenteils vorhanden</t>
  </si>
  <si>
    <t>in geringem Maße vorhanden</t>
  </si>
  <si>
    <t>nicht vorhanden</t>
  </si>
  <si>
    <t>2.</t>
  </si>
  <si>
    <t>2.1</t>
  </si>
  <si>
    <t>Erkennen von Personen aus dem näheren Umfeld</t>
  </si>
  <si>
    <t>2.2</t>
  </si>
  <si>
    <t>Örtliche Orientierung</t>
  </si>
  <si>
    <t>2.3</t>
  </si>
  <si>
    <t>Zeitliche Orientierung</t>
  </si>
  <si>
    <t>2.4</t>
  </si>
  <si>
    <t>Erinnern an wesentliche Ereignisse oder Beobachtungen</t>
  </si>
  <si>
    <t>2.5</t>
  </si>
  <si>
    <t>Steuern von mehrschrittigen Alltagshandlungen</t>
  </si>
  <si>
    <t>2.6</t>
  </si>
  <si>
    <t>Treffen von Entscheidungen im Alltagsleben</t>
  </si>
  <si>
    <t>2.7</t>
  </si>
  <si>
    <t>Verstehen von Sachverhalten und Informationen</t>
  </si>
  <si>
    <t>2.8</t>
  </si>
  <si>
    <t>Erkennen von Risiken und Gefahren</t>
  </si>
  <si>
    <t>2.9</t>
  </si>
  <si>
    <t>Mitteilen von elementaren Bedürfnissen</t>
  </si>
  <si>
    <t>2.10</t>
  </si>
  <si>
    <t>Verstehen von Aufforderungen</t>
  </si>
  <si>
    <t>2.11</t>
  </si>
  <si>
    <t>Beteiligen an einem Gespräch</t>
  </si>
  <si>
    <t>2 - 5</t>
  </si>
  <si>
    <t>6 - 10</t>
  </si>
  <si>
    <t>11 - 16</t>
  </si>
  <si>
    <t>17 - 33</t>
  </si>
  <si>
    <t>Modul 3</t>
  </si>
  <si>
    <t>Modul 3 Verhaltensweisen und psychische Problemlagen</t>
  </si>
  <si>
    <t>nie oder sehr selten</t>
  </si>
  <si>
    <t>selten
(ein- bis dreimal innerhalb von zwei Wochen)</t>
  </si>
  <si>
    <t>häufig
(zweimal bis mehr- mals wöchentlich, aber nicht täglich)</t>
  </si>
  <si>
    <t>täglich</t>
  </si>
  <si>
    <t>3.</t>
  </si>
  <si>
    <t>3.1</t>
  </si>
  <si>
    <t>Motorisch geprägte Verhaltensauffälligkeiten</t>
  </si>
  <si>
    <t>3.2</t>
  </si>
  <si>
    <t>Nächtliche Unruhe</t>
  </si>
  <si>
    <t>3.3</t>
  </si>
  <si>
    <t>Selbstschädigendes und autoaggressives Verhalten</t>
  </si>
  <si>
    <t>3.4</t>
  </si>
  <si>
    <t>Beschädigen von Gegenständen</t>
  </si>
  <si>
    <t>3.5</t>
  </si>
  <si>
    <t>Physisch aggressives Verhalten gegenüber anderen Personen</t>
  </si>
  <si>
    <t>3.6</t>
  </si>
  <si>
    <t>Verbale Aggression</t>
  </si>
  <si>
    <t>3.7</t>
  </si>
  <si>
    <t>Andere pflegerelevante vokale Auffälligkeiten</t>
  </si>
  <si>
    <t>3.8</t>
  </si>
  <si>
    <t>Abwehr pflegerischer oder anderer unterstützender Maßnahmen</t>
  </si>
  <si>
    <t>3.9</t>
  </si>
  <si>
    <t>Wahnvorstellungen</t>
  </si>
  <si>
    <t>3.10</t>
  </si>
  <si>
    <t>Ängste</t>
  </si>
  <si>
    <t>3.11</t>
  </si>
  <si>
    <t>Antriebslosigkeit bei depressiver Stimmungslage</t>
  </si>
  <si>
    <t>3.12</t>
  </si>
  <si>
    <t>Sozial inadäquate Verhaltensweisen</t>
  </si>
  <si>
    <t>3.13</t>
  </si>
  <si>
    <t>Sonstige pflegerelevante inadäquate Handlungen</t>
  </si>
  <si>
    <t>1 - 2</t>
  </si>
  <si>
    <t>3 - 4</t>
  </si>
  <si>
    <t>5 - 6</t>
  </si>
  <si>
    <t>7 - 65</t>
  </si>
  <si>
    <t>Modul 4</t>
  </si>
  <si>
    <t>Modul 4 Selbstversorgung</t>
  </si>
  <si>
    <t>selbstständig</t>
  </si>
  <si>
    <t>4.</t>
  </si>
  <si>
    <t>4.1</t>
  </si>
  <si>
    <t>Waschen des vorderen Oberkörpers</t>
  </si>
  <si>
    <t>4.2</t>
  </si>
  <si>
    <t>Körperpflege im Bereich des Kopfes</t>
  </si>
  <si>
    <t>4.3</t>
  </si>
  <si>
    <t>Waschen des Intimbereichs</t>
  </si>
  <si>
    <t>4.4</t>
  </si>
  <si>
    <t>Duschen und Baden einschließlich Waschen der Haare</t>
  </si>
  <si>
    <t>4.5</t>
  </si>
  <si>
    <t>An- und Auskleiden des Oberkörpers</t>
  </si>
  <si>
    <t>4.6</t>
  </si>
  <si>
    <t>An- und Auskleiden des Unterkörpers</t>
  </si>
  <si>
    <t>4.7</t>
  </si>
  <si>
    <t>Mundgerechtes Zubereiten der Nahrung und Eingießen von Getränken</t>
  </si>
  <si>
    <t>4.8</t>
  </si>
  <si>
    <t>Essen</t>
  </si>
  <si>
    <t>4.9</t>
  </si>
  <si>
    <t>Trinken</t>
  </si>
  <si>
    <t>4.10</t>
  </si>
  <si>
    <t>Benutzen einer Toilette oder eines Toilettenstuhls</t>
  </si>
  <si>
    <t>4.11</t>
  </si>
  <si>
    <t>Bewältigen der Folgen einer Harninkontinenz und Umgang mit Dauerkatheter und Urostoma</t>
  </si>
  <si>
    <t>4.12</t>
  </si>
  <si>
    <t>Bewältigen der Folgen einer Stuhlinkontinenz und Umgang mit Stoma</t>
  </si>
  <si>
    <t>Versorgung selbstständig</t>
  </si>
  <si>
    <t>Nicht täglich, nicht auf Dauer</t>
  </si>
  <si>
    <t>Täglich zusätzlich zu oraler Ernährung</t>
  </si>
  <si>
    <t>Ausschließlich oder nahezu ausschließlich</t>
  </si>
  <si>
    <t>4.13</t>
  </si>
  <si>
    <t>Ernährung parenteral oder über Sonde</t>
  </si>
  <si>
    <t>0 - 2</t>
  </si>
  <si>
    <t>3 - 7</t>
  </si>
  <si>
    <t>8 - 18</t>
  </si>
  <si>
    <t>19 - 36</t>
  </si>
  <si>
    <t>37 - 54</t>
  </si>
  <si>
    <t>Angabe zur Versorgung</t>
  </si>
  <si>
    <t>Blasenkontrolle/Harnkontinenz</t>
  </si>
  <si>
    <t>ständig kontinent (keine unwillkürlichen Harnabgänge) (4.4.11 entfällt)</t>
  </si>
  <si>
    <t>überwiegend kontinent (maximal einmal täglich unwillkürlicher Harnabgang oder Tröpfcheninkontinenz) (4.4.11 entfällt)</t>
  </si>
  <si>
    <t>überwiegend inkontinent (mehrmals täglich unwillkürliche Harnabgänge)</t>
  </si>
  <si>
    <t>komplett inkontinent</t>
  </si>
  <si>
    <t>suprapubischer Dauerkatheter</t>
  </si>
  <si>
    <t>transurethraler Dauerkatheter</t>
  </si>
  <si>
    <t>Urostoma</t>
  </si>
  <si>
    <t>Darmkontrolle/Stuhlkontinenz</t>
  </si>
  <si>
    <t xml:space="preserve">ständig kontinent (keine unwillkürlichen Stuhlabgänge) (4.4.12 entfällt)      </t>
  </si>
  <si>
    <t xml:space="preserve">überwiegend kontinent (gelegentlich unwillkürliche Stuhlabgänge oder nur geringe Stuhlmengen, sogenannte Schmierstühle) (4.4.12 entfällt) </t>
  </si>
  <si>
    <t>überwiegend inkontinent, selten gesteuerte Darmentleerung</t>
  </si>
  <si>
    <t>Colo-/Ileostoma</t>
  </si>
  <si>
    <t xml:space="preserve">entfällt (4.4.13 entfällt)     </t>
  </si>
  <si>
    <t>Parenteral (z. B. Port)</t>
  </si>
  <si>
    <t xml:space="preserve">Perkutane endoskopische Gastrostomie (PEG) </t>
  </si>
  <si>
    <t>Perkutane endoskopische Jejunostomie (PEJ)</t>
  </si>
  <si>
    <t xml:space="preserve">(Nasale) Magensonde </t>
  </si>
  <si>
    <t>Art der Gabe</t>
  </si>
  <si>
    <t>Pumpe</t>
  </si>
  <si>
    <t>Schwerkraft</t>
  </si>
  <si>
    <t>Bolusgabe</t>
  </si>
  <si>
    <t>Modul 5</t>
  </si>
  <si>
    <t>Modul 5 Bewältigung von und selbstständiger Umgang mit krankheits- oder therapiebedingten Anforderungen und Belastungen</t>
  </si>
  <si>
    <t>entfällt</t>
  </si>
  <si>
    <t>Häufigkeit der Hilfe (Anzahl eintragen)</t>
  </si>
  <si>
    <t>pro Tag</t>
  </si>
  <si>
    <t>pro Woche</t>
  </si>
  <si>
    <t>pro Monat</t>
  </si>
  <si>
    <t>5.</t>
  </si>
  <si>
    <t>5.1</t>
  </si>
  <si>
    <t>Medikation</t>
  </si>
  <si>
    <t>5.2</t>
  </si>
  <si>
    <t>Injektionen</t>
  </si>
  <si>
    <t>5.3</t>
  </si>
  <si>
    <t>Versorgung intravenöser Zugänge (Port)</t>
  </si>
  <si>
    <t>5.4</t>
  </si>
  <si>
    <t>Absaugen und Sauerstoffgabe</t>
  </si>
  <si>
    <t>5.5</t>
  </si>
  <si>
    <t>Einreibungen oder Kälte- und Wärmeanwendungen</t>
  </si>
  <si>
    <t>5.6</t>
  </si>
  <si>
    <t>Messung und Deutung von Körperzuständen</t>
  </si>
  <si>
    <t>5.7</t>
  </si>
  <si>
    <t>Körpernahe Hilfsmittel</t>
  </si>
  <si>
    <t>5.8</t>
  </si>
  <si>
    <t>Verbandwechsel und Wundversorgung</t>
  </si>
  <si>
    <t>5.9</t>
  </si>
  <si>
    <t>Versorgung mit Stoma</t>
  </si>
  <si>
    <t>5.10</t>
  </si>
  <si>
    <t>Regelmäßige Einmalkatheterisierung und Nutzung von Abführmethoden</t>
  </si>
  <si>
    <t>5.11</t>
  </si>
  <si>
    <t>Therapiemaßnahmen in häuslicher Umgebung</t>
  </si>
  <si>
    <t>5.12</t>
  </si>
  <si>
    <t>Zeit- und technikintensive Maßnahmen in häuslicher Umgebung</t>
  </si>
  <si>
    <t>5.13</t>
  </si>
  <si>
    <t>Arztbesuche</t>
  </si>
  <si>
    <t>5.14</t>
  </si>
  <si>
    <t>Besuch anderer medizinischer oder therapeutischer Einrichtungen (bis zu 3 Std.)</t>
  </si>
  <si>
    <t>5.15</t>
  </si>
  <si>
    <t>Zeitlich ausgedehnte Besuche anderer medizinischer oder therapeutischer Einrichtungen (länger als 3 Std.)</t>
  </si>
  <si>
    <t>Einhaltung einer Diät und anderer krankheits- oder therapiebedingter Verhaltensvorschriften, und zwar:</t>
  </si>
  <si>
    <t>entfällt/
nicht erforderlich</t>
  </si>
  <si>
    <t>5.16</t>
  </si>
  <si>
    <t>Einhaltung einer Diät und anderer krankheits- oder therapiebedingter Verhaltensvorschriften, und zwar:</t>
  </si>
  <si>
    <t>Einzelpunkte/ Gewichtete Punkte</t>
  </si>
  <si>
    <t>Gewichtete Punkte Items</t>
  </si>
  <si>
    <t>Gewichtete Punkte Modul</t>
  </si>
  <si>
    <t>6 - 15</t>
  </si>
  <si>
    <t>Angaben zur ärztlichen und medikamentösen Versorgung</t>
  </si>
  <si>
    <t>Medikamente</t>
  </si>
  <si>
    <t>Angaben zur laufenden Heilmitteltherapie</t>
  </si>
  <si>
    <t>Physikalische Therapie</t>
  </si>
  <si>
    <t>Ergotherapie</t>
  </si>
  <si>
    <t>Stimm-, Sprech-, Sprachtherapie</t>
  </si>
  <si>
    <t>Podologie</t>
  </si>
  <si>
    <t>Angaben zu behandlungspflegerischen und anderen therapeutischen Maßnahmen</t>
  </si>
  <si>
    <t>Spezielle Krankenbeobachtung gemäß Position 24 HKP-Richtlinie</t>
  </si>
  <si>
    <t>Modul 6</t>
  </si>
  <si>
    <t>Modul 6 Gestaltung des Alltagslebens und sozialer Kontakte</t>
  </si>
  <si>
    <t>6.</t>
  </si>
  <si>
    <t>6.1</t>
  </si>
  <si>
    <t>Gestaltung des Tagesablaufs und Anpassung an Veränderungen</t>
  </si>
  <si>
    <t>6.2</t>
  </si>
  <si>
    <t>Ruhen und Schlafen</t>
  </si>
  <si>
    <t>6.3</t>
  </si>
  <si>
    <t>Sichbeschäftigen</t>
  </si>
  <si>
    <t>6.4</t>
  </si>
  <si>
    <t>Vornehmen von in die Zukunft gerichteten Planungen</t>
  </si>
  <si>
    <t>6.5</t>
  </si>
  <si>
    <t>Interaktion mit Personen im direkten Kontakt</t>
  </si>
  <si>
    <t>6.6</t>
  </si>
  <si>
    <t>Kontaktpflege zu Personen außerhalb des direkten Umfeldes</t>
  </si>
  <si>
    <t>1 - 3</t>
  </si>
  <si>
    <t>4 - 6</t>
  </si>
  <si>
    <t>7 - 11</t>
  </si>
  <si>
    <t>12 - 18</t>
  </si>
  <si>
    <t>Kap. 5 Pflegegrad</t>
  </si>
  <si>
    <t>Kapitel 5 Ergebnis der Begutachtung</t>
  </si>
  <si>
    <t>Modulbewertung</t>
  </si>
  <si>
    <t>Modul</t>
  </si>
  <si>
    <t>Modulbezeichnung</t>
  </si>
  <si>
    <t>Mobilität</t>
  </si>
  <si>
    <t>Kognitive und kommunikative Fähigkeiten</t>
  </si>
  <si>
    <t>Verhaltensweisen und psychische Problemlagen</t>
  </si>
  <si>
    <t>Selbstversorgung</t>
  </si>
  <si>
    <t>Bewältigung von und selbstständiger Umgang mit krankheits- oder therapiebedingten Anforderungen und Belastungen</t>
  </si>
  <si>
    <t>Gestaltung des Alltagslebens und sozialer Kontakte</t>
  </si>
  <si>
    <t>Summe der gewichteten Punkte</t>
  </si>
  <si>
    <t>Besondere Bedarfskonstellation 4.1.6</t>
  </si>
  <si>
    <t>nein</t>
  </si>
  <si>
    <r>
      <rPr>
        <b val="1"/>
        <sz val="12"/>
        <color indexed="8"/>
        <rFont val="Calibri"/>
      </rPr>
      <t>Pflegegrad</t>
    </r>
  </si>
  <si>
    <t>Pflegegrad</t>
  </si>
  <si>
    <t>Beschreibung</t>
  </si>
  <si>
    <t>Status</t>
  </si>
  <si>
    <t xml:space="preserve">unter 12,5 Pkt. </t>
  </si>
  <si>
    <t xml:space="preserve">kein Pflegegrad </t>
  </si>
  <si>
    <r>
      <rPr>
        <b val="1"/>
        <sz val="12"/>
        <color indexed="8"/>
        <rFont val="Calibri"/>
      </rPr>
      <t xml:space="preserve">kein Pflegegrad </t>
    </r>
  </si>
  <si>
    <t xml:space="preserve">12,5 – &lt;27 Pkt. </t>
  </si>
  <si>
    <t>Pflegegrad 1</t>
  </si>
  <si>
    <t>geringe Beeinträchtigung der Selbstständigkeit oder der Fähigkeiten</t>
  </si>
  <si>
    <t xml:space="preserve">27 – &lt;47,5 Pkt. </t>
  </si>
  <si>
    <t>Pflegegrad 2</t>
  </si>
  <si>
    <t>erhebliche Beeinträchtigung der Selbstständigkeit oder der Fähigkeiten)</t>
  </si>
  <si>
    <t xml:space="preserve">47,5 – &lt;70 Pkt. </t>
  </si>
  <si>
    <t>Pflegegrad 3</t>
  </si>
  <si>
    <t>schwere Beeinträchtigung der Selbstständigkeit oder der Fähigkeiten</t>
  </si>
  <si>
    <t xml:space="preserve">70 – &lt;90 Pkt. </t>
  </si>
  <si>
    <t>Pflegegrad 4</t>
  </si>
  <si>
    <t>schwerste Beeinträchtigung der Selbstständigkeit oder der Fähigkeiten</t>
  </si>
  <si>
    <t xml:space="preserve">90 – 100 Pkt.* </t>
  </si>
  <si>
    <t>Pflegegrad 5</t>
  </si>
  <si>
    <t>schwerste Beeinträchtigung der Selbstständigkeit oder der Fähigkeiten mit besonderen Anforderungen an die pflegerische Versorgung</t>
  </si>
  <si>
    <t xml:space="preserve">* oder Vorliegen der besonderen Bedarfskonstellation 4.1.6 </t>
  </si>
  <si>
    <t>Seit wann?</t>
  </si>
  <si>
    <t xml:space="preserve">Wird eine Befristung empfohlen? </t>
  </si>
  <si>
    <t>Begründung/Erläuterung:</t>
  </si>
  <si>
    <t>Widerspruchsbegutachtung</t>
  </si>
  <si>
    <t>Wird mit diesem Gutachten das Ergebnis des Vorgutachtens bestätigt?</t>
  </si>
  <si>
    <t>Ja, aktuell wird der gleiche Pflegegrad empfohlen.</t>
  </si>
  <si>
    <t>Ja, aber aufgrund einer zwischenzeitlich eingetretenen Veränderung wird ein anderer Pflegegrad empfohlen.</t>
  </si>
  <si>
    <t>Nein, zum Zeitpunkt der Vorbegutachtung bestanden bereits die Voraussetzungen für den aktuell empfohlenen Pflegegrad.</t>
  </si>
  <si>
    <t>Übernahme aus 1.4</t>
  </si>
  <si>
    <t>Liegt der Pflegeaufwand nachvollziehbar bei wenigstens zehn Stunden verteilt auf regelmäßig mindestens zwei Tage pro Woche?</t>
  </si>
  <si>
    <t>wenn nein:</t>
  </si>
  <si>
    <t>Angegebene Pflege-stunden pro Woche</t>
  </si>
  <si>
    <t>Mindeststundenzahl von zehn Stunden wöchentlich, verteilt auf regelmäßig mindestens zwei Tage in der Woche, wird nicht erreicht:
Angegebene Anzahl weiterer durch die Pflegeperson gepflegten Pflegebedürftige</t>
  </si>
  <si>
    <t>Sind die Angaben zur Verteilung und zum Umfang des Pflegeaufwandes nachvollziehbar?</t>
  </si>
  <si>
    <t>Begründung:</t>
  </si>
  <si>
    <t>Ist die Pflege in geeigneter Weise sichergestellt?</t>
  </si>
  <si>
    <t>Liegen Hinweise auf folgende Ursachen der Pflegebedürftigkeit vor?</t>
  </si>
  <si>
    <t>Unfall</t>
  </si>
  <si>
    <t>Berufserkrankung/Arbeitsunfall</t>
  </si>
  <si>
    <t>Versorgungsleiden</t>
  </si>
  <si>
    <t>Kap. 6, 7, 8, 9</t>
  </si>
  <si>
    <t>Kapitel 6 Erhebung weiterer versorgungsrelevanter Informationen</t>
  </si>
  <si>
    <t>Außerhäusliche Aktivitäten</t>
  </si>
  <si>
    <t xml:space="preserve">Fortbewegung im außerhäuslichen Bereich </t>
  </si>
  <si>
    <t>6.1.1</t>
  </si>
  <si>
    <t xml:space="preserve">Verlassen des Bereichs der Wohnung oder der Einrichtung </t>
  </si>
  <si>
    <t>6.1.2</t>
  </si>
  <si>
    <t>Fortbewegung außerhalb der Wohnung oder der Einrichtung (zu Fuß oder mit dem Rollstuhl)</t>
  </si>
  <si>
    <t>6.1.3</t>
  </si>
  <si>
    <t xml:space="preserve">Nutzung öffentlicher Verkehrsmittel im Nahverkehr </t>
  </si>
  <si>
    <t>6.1.4</t>
  </si>
  <si>
    <t xml:space="preserve">Mitfahren in einem Kraftfahrzeug </t>
  </si>
  <si>
    <t>Erläuterung (6.1.1 bis 6.1.4):</t>
  </si>
  <si>
    <t>Teilnahme an Aktivitäten (Beurteilung ohne Berücksichtigung von Wegstrecken)</t>
  </si>
  <si>
    <t>6.1.5</t>
  </si>
  <si>
    <t>Teilnahme an kulturellen, religiösen oder sportlichen Veranstaltungen</t>
  </si>
  <si>
    <t>Erläuterung(en):</t>
  </si>
  <si>
    <t>6.1.6</t>
  </si>
  <si>
    <t>Besuch eines Arbeitsplatzes, einer Werkstatt für behinderte Menschen oder einer Einrichtung der Tages- oder Nachtpflege oder eines Tagesbetreuungsangebotes</t>
  </si>
  <si>
    <t>Schule</t>
  </si>
  <si>
    <t>Kindergarten, Kindertagesstätte, Kinderhort</t>
  </si>
  <si>
    <t>Werkstatt für behinderte Menschen</t>
  </si>
  <si>
    <t>Tages- oder Nachtpflegeeinrichtung</t>
  </si>
  <si>
    <t>Tagesbetreuung</t>
  </si>
  <si>
    <t>niedrigschwellige Angebote</t>
  </si>
  <si>
    <t>1.7</t>
  </si>
  <si>
    <t>6.1.7</t>
  </si>
  <si>
    <r>
      <rPr>
        <b val="1"/>
        <sz val="12"/>
        <color indexed="8"/>
        <rFont val="Calibri"/>
      </rPr>
      <t>Teilnahme an sonstigen Aktivitäten mit anderen Menschen</t>
    </r>
    <r>
      <rPr>
        <sz val="12"/>
        <color indexed="8"/>
        <rFont val="Calibri"/>
      </rPr>
      <t xml:space="preserve"> (Besuche, organisierte Freizeitaktivitäten, Selbsthilfegruppen, Vereine etc.)</t>
    </r>
  </si>
  <si>
    <t xml:space="preserve"> Haushaltsführung</t>
  </si>
  <si>
    <t>Zu bewerten ist, ob die Person die jeweilige Aktivität praktisch durchführen kann. Es ist unerheblich, ob die Beeinträchtigungen der Selbständigkeit aufgrund von Schädigungen somatischer oder mentaler Funktionen bestehen oder ob Teilaspekte bereits in anderen Modulen bewertet wurden.</t>
  </si>
  <si>
    <t>überwiegend unselbstständig</t>
  </si>
  <si>
    <t>unselbstständig</t>
  </si>
  <si>
    <t xml:space="preserve">Einkaufen für den täglichen Bedarf </t>
  </si>
  <si>
    <t xml:space="preserve">Zubereitung einfacher Mahlzeiten </t>
  </si>
  <si>
    <t xml:space="preserve">Einfache Aufräum- und Reinigungsarbeiten </t>
  </si>
  <si>
    <t xml:space="preserve">Aufwendige Aufräum- und Reinigungsarbeiten, einschließlich Wäschepflege </t>
  </si>
  <si>
    <t xml:space="preserve">Nutzung von Dienstleistungen </t>
  </si>
  <si>
    <t xml:space="preserve">Umgang mit finanziellen Angelegenheiten </t>
  </si>
  <si>
    <t xml:space="preserve">Umgang mit Behördenangelegenheiten </t>
  </si>
  <si>
    <t xml:space="preserve">Kapitel 7 </t>
  </si>
  <si>
    <t>Empfehlungen zur Förderung oder zum Erhalt der Selbständigkeit oder der Fähigkeiten, Prävention und Rehabilitation (über die bisherige Versorgung hinaus)</t>
  </si>
  <si>
    <t>7.</t>
  </si>
  <si>
    <t>7.1</t>
  </si>
  <si>
    <t>Möglichkeiten zur Förderung oder zum Erhalt der festgestellten Selbständigkeit oder der Fähigkeiten in den Bereichen:</t>
  </si>
  <si>
    <t>7.1.1</t>
  </si>
  <si>
    <t>Mobilität, Selbstversorgung und Haushaltsführung durch:</t>
  </si>
  <si>
    <t>Einleitung/Optimierung therapeutischer Maßnahmen:</t>
  </si>
  <si>
    <t>Optimierung der räumlichen Umgebung:</t>
  </si>
  <si>
    <t>Hilfsmittel- und Pflegehilfsmitteleinsatz bzw. dessen Optimierung:</t>
  </si>
  <si>
    <t>Präventive Maßnahmen:</t>
  </si>
  <si>
    <t>Sonstige Empfehlungen:</t>
  </si>
  <si>
    <t>7.1.2</t>
  </si>
  <si>
    <t>Kognitive und kommunikative Fähigkeiten, Verhaltensweisen und psychische Problemlagen und Gestaltung des Alltagslebens und sozialer Kontakte durch:</t>
  </si>
  <si>
    <t>7.1.3</t>
  </si>
  <si>
    <t>Bewältigung von und selbständiger Umgang mit krankheits- oder therapiebedingten Anforderungen und Belastungen durch:</t>
  </si>
  <si>
    <t xml:space="preserve">Edukative Maßnahmen/Beratung zur Verbesserung des Wissens um die bestehenden Erkrankungen und zum Umgang mit therapiebedingten Anforderungen: </t>
  </si>
  <si>
    <t xml:space="preserve">Einsatz, Anleitung bzw. Vermittlung von Kenntnissen und Fertigkeiten im Umgang mit Hilfsmitteln und ggf. Pflegehilfsmitteln und medizinischen Geräten: </t>
  </si>
  <si>
    <t>7.2</t>
  </si>
  <si>
    <t>Empfehlungen zu therapeutischen und/oder weiteren Einzelmaßnahmen</t>
  </si>
  <si>
    <t>Zum Erhalt oder zur Verbesserung der Selbständigkeit und Teilhabe erscheinen die aktuellen Leistungen der vertragsärztlichen Versorgung oder pflegerischen Maßnahmen und weitere unter 7.1.1. bis 7.1.3 genannten Maßnahmen ausreichend und erfolgversprechend.</t>
  </si>
  <si>
    <t>weiter mit 7.2.1</t>
  </si>
  <si>
    <t>7.3</t>
  </si>
  <si>
    <t>Empfehlungen zur medizinischen Rehabilitation</t>
  </si>
  <si>
    <t>Rehabilitationsbedürftigkeit</t>
  </si>
  <si>
    <t>Die voraussichtlich nicht nur vorübergehenden Beeinträchtigungen der Aktivitäten und Teilhabe können insbesondere durch eine interdisziplinäre, mehrdimensionale Leistung zur medizinischen Rehabilitation abgewendet, vermindert oder deren Verschlimmerung verhütet werden. Maßnahmen der kurativen Versorgung sind nicht ausreichend oder erfolgversprechend.</t>
  </si>
  <si>
    <t>weiter mit 7.3.1</t>
  </si>
  <si>
    <t>7.3.1</t>
  </si>
  <si>
    <t>Rehabilitationsfähigkeit</t>
  </si>
  <si>
    <t>Die antragstellende Person erscheint zum Zeitpunkt der Begutachtung körperlich und psychisch bzw. kognitiv in der Lage, mindestens an zwei Therapieeinheiten pro Tag teilzunehmen.</t>
  </si>
  <si>
    <r>
      <rPr>
        <b val="1"/>
        <sz val="12"/>
        <color indexed="8"/>
        <rFont val="Calibri"/>
      </rPr>
      <t>Wenn nein:</t>
    </r>
    <r>
      <rPr>
        <sz val="12"/>
        <color indexed="8"/>
        <rFont val="Calibri"/>
      </rPr>
      <t xml:space="preserve"> Die aktive Teilnahmefähigkeit ist ausgeschlossen durch:</t>
    </r>
  </si>
  <si>
    <t>hochgradige körperliche Schwäche, z. B. fortgeschrittene Kachexie bei onkologischer Erkrankung</t>
  </si>
  <si>
    <t>stark verminderte kardiale oder pulmonale Belastbarkeit, z. B. Luftnot bereits in Ruhe</t>
  </si>
  <si>
    <t>große Wunden/Dekubitalgeschwüre</t>
  </si>
  <si>
    <t>schwere Orientierungsstörungen, z. B. mit Wanderungstendenz</t>
  </si>
  <si>
    <t>ausgeprägte psychische Störungen, beispielsweise akute Wahnsymptomatik</t>
  </si>
  <si>
    <t>Antriebsstörungen, z. B. bei schwerer Depression</t>
  </si>
  <si>
    <t>nicht beeinflussbare Fremd- oder Selbstgefährdung</t>
  </si>
  <si>
    <t>Fehlende Kooperations- und Einsichtsfähigkeit aufgrund psychischer oder fortgeschrittener dementieller Störungen</t>
  </si>
  <si>
    <t>die Therapie beeinträchtigende Abhängigkeitserkrankungen</t>
  </si>
  <si>
    <t>geplante Operationen oder Krankenhausaufnahme</t>
  </si>
  <si>
    <t>Sonstige Gründe:</t>
  </si>
  <si>
    <t>7.3.2</t>
  </si>
  <si>
    <t>Rehabilitationsziele</t>
  </si>
  <si>
    <t>Es bestehen folgende realistisch erreichbare und für die antragstellende Person alltagsrelevante Rehabilitationsziele, z. B. Verbesserung oder Erhaltung in Bezug auf Gehfähigkeit, Transfer, Nahrungsaufnahme, Körperpflege, Kommunikation, Krankheitsbewältigung, Erhalt der Mobilität, Erlernen von Ersatzstrategien:</t>
  </si>
  <si>
    <t>7.3.3</t>
  </si>
  <si>
    <t>Empfehlung einer Leistung zur medizinischen Rehabilitation</t>
  </si>
  <si>
    <t>Anhand der dem Gutachten zur Feststellung der Pflegebedürftigkeit gemäß SGB XI zugrunde liegenden Informationen besteht die Indikation für eine Leistung zur medizinischen Rehabilitation.</t>
  </si>
  <si>
    <t>Zuweisungsempfehlung:</t>
  </si>
  <si>
    <t>geriatrische Rehabilitation</t>
  </si>
  <si>
    <t>indikationsspezifische Rehabilitation, welche</t>
  </si>
  <si>
    <t>ambulante Durchführung</t>
  </si>
  <si>
    <t>in einer ambulanten Rehabilitationseinrichtung</t>
  </si>
  <si>
    <t>durch mobile Rehabilitation im gewohnten oder ständigen Wohnumfeld, weil</t>
  </si>
  <si>
    <t>stationäre Durchführung, Begründung:</t>
  </si>
  <si>
    <t>keine ausreichende Mobilität</t>
  </si>
  <si>
    <t>keine ausreichende physische und psychische Belastbarkeit für ambulante Rehabilitation</t>
  </si>
  <si>
    <t>ständige ärztliche und pflegerische Betreuung (auch nachts) erforderlich</t>
  </si>
  <si>
    <t>häusliche Versorgung nicht sichergestellt</t>
  </si>
  <si>
    <t>zeitweilige Distanzierung vom häuslichen Umfeld erforderlich</t>
  </si>
  <si>
    <t>ambulante Rehabilitation zum Erreichen der Rehabilitationsziele nicht ausreichend</t>
  </si>
  <si>
    <t>sonstige Gründe:</t>
  </si>
  <si>
    <t>Hinweise auf besondere Anforderungen an die Rehabilitationseinrichtung:</t>
  </si>
  <si>
    <t>Beratung zur Umsetzung der empfohlenen Leistung zur medizinischen Rehabilitation erforderlich</t>
  </si>
  <si>
    <t>7.2.1</t>
  </si>
  <si>
    <t>Anhand der dem Gutachten zur Feststellung der Pflegebedürftigkeit gemäß SGB XI zugrunde liegenden Informationen wird keine Empfehlung zur Einleitung einer Leistung zur medizinischen Rehabilitation gegeben.</t>
  </si>
  <si>
    <t>Es werden folgende Hinweise und Empfehlungen gegeben:</t>
  </si>
  <si>
    <t>A</t>
  </si>
  <si>
    <t>Die aktuellen Leistungen der vertragsärztlichen Versorgung oder pflegerischen Maßnahmen erscheinen ausreichend, um Pflegebedürftigkeit zu vermeiden, zu vermindern oder eine Verschlimmerung zu verhüten.</t>
  </si>
  <si>
    <t>B</t>
  </si>
  <si>
    <t>Es wird empfohlen, mit der behandelnden Ärztin oder dem behandelnden Arzt abzuklären, ob die unter 7.1.1 bis 7.1.3 genannten weiteren therapeutischen Maßnahmen eingeleitet werden können.</t>
  </si>
  <si>
    <t>C</t>
  </si>
  <si>
    <t>Es wird empfohlen, die anderen unter 7.1.1. bis 7.1.3 genannten Empfehlungen einzuleiten.</t>
  </si>
  <si>
    <t>D</t>
  </si>
  <si>
    <t>Es wird die Einleitung bzw. Optimierung aktivierender pflegerischer Maßnahmen empfohlen.</t>
  </si>
  <si>
    <t>E</t>
  </si>
  <si>
    <t>Es ergeben sich zwar Hinweise für die Empfehlung einer Leistung zur medizinischen Rehabilitation, aktuell liegt jedoch keine ausreichende Rehabilitationsfähigkeit vor.</t>
  </si>
  <si>
    <t>F</t>
  </si>
  <si>
    <t>Die Wirkung/der Erfolg einer abgeschlossenen oder derzeit stattfindenden Rehabilitationsmaßnahme soll abgewartet werden.</t>
  </si>
  <si>
    <t>G</t>
  </si>
  <si>
    <t>Es wird keine realistische Möglichkeit gesehen, die Pflegebedürftigkeit zu vermindern oder eine Verschlimmerung zu verhüten.</t>
  </si>
  <si>
    <t>H</t>
  </si>
  <si>
    <t>Eine Rehabilitationsleistung wurde bereits bewilligt (Bewilligungsbescheid liegt vor).</t>
  </si>
  <si>
    <t>I</t>
  </si>
  <si>
    <t>Weitere Abklärung empfohlen, weil</t>
  </si>
  <si>
    <t>J</t>
  </si>
  <si>
    <t>Sonstiges:</t>
  </si>
  <si>
    <t>Die Abklärung der Rehabilitationsbedürftigkeit erfolgte unter Einbeziehung von</t>
  </si>
  <si>
    <t>Kapitel 8</t>
  </si>
  <si>
    <t>Weitere Empfehlungen und Hinweise für die Pflegekasse</t>
  </si>
  <si>
    <t>8.</t>
  </si>
  <si>
    <t>8.1</t>
  </si>
  <si>
    <t>Hilfsmittel/Pflegehilfsmittel</t>
  </si>
  <si>
    <t>Produktart:</t>
  </si>
  <si>
    <t>Produktnummer:</t>
  </si>
  <si>
    <t>Erläuterung:</t>
  </si>
  <si>
    <t>Zustimmung der antragstellenden/betreuenden/bevollmächtigten Person zur Beantragung des o. g. Hilfsmittels/Pflegehilfsmittels liegt vor</t>
  </si>
  <si>
    <t>ja</t>
  </si>
  <si>
    <t>kann nicht eingeholt werden</t>
  </si>
  <si>
    <t>Weitere Empfehlungen:</t>
  </si>
  <si>
    <t>8.2</t>
  </si>
  <si>
    <t>Heilmittel oder andere therapeutische Maßnahmen</t>
  </si>
  <si>
    <t>Physikalische Therapie:</t>
  </si>
  <si>
    <t>Ergotherapie:</t>
  </si>
  <si>
    <t>Stimm-, Sprech- und Sprachtherapie:</t>
  </si>
  <si>
    <t>Podologie:</t>
  </si>
  <si>
    <t>Andere therapeutische Maßnahmen:</t>
  </si>
  <si>
    <t>8.3</t>
  </si>
  <si>
    <t>Wohnumfeldverbessernde Maßnahmen</t>
  </si>
  <si>
    <t>8.4</t>
  </si>
  <si>
    <t>Edukative Maßnahmen/Beratung/Anleitung</t>
  </si>
  <si>
    <t>8.5</t>
  </si>
  <si>
    <t>Präventive Maßnahmen</t>
  </si>
  <si>
    <t>8.6</t>
  </si>
  <si>
    <t>Beratung zu Leistungen zur verhaltensbezogenen Primärprävention nach § 20 SGB V</t>
  </si>
  <si>
    <t>8.7</t>
  </si>
  <si>
    <t>Veränderung der Pflegesituation</t>
  </si>
  <si>
    <t>Pflegeberatung:</t>
  </si>
  <si>
    <t>Entlastung der Pflegeperson</t>
  </si>
  <si>
    <t>8.8</t>
  </si>
  <si>
    <t>8.9</t>
  </si>
  <si>
    <t>Die antragstellende Person widerspricht der Übersendung des Gutachtens</t>
  </si>
  <si>
    <t>8.10</t>
  </si>
  <si>
    <t>Sonstige Hinweise</t>
  </si>
  <si>
    <t>Kapitel 9</t>
  </si>
  <si>
    <t>Prognose/Wiederholungsbegutachtung</t>
  </si>
  <si>
    <t>Prognose:</t>
  </si>
  <si>
    <t>Termin für Wiederholungsbegutachtung:</t>
  </si>
  <si>
    <t>Beteiligte Gutachter:</t>
  </si>
  <si>
    <t>#</t>
  </si>
  <si>
    <t>Diese Auswahloptionen kommen nur bei bestimmten Personen in Betracht. Bei Mehrfachauswahl ist jede Auswahl einzeln zu bewerten.</t>
  </si>
  <si>
    <t>Teilnahme an sonstigen Aktivitäten mit anderen Menschen</t>
  </si>
  <si>
    <t>Pflegegeld (§ 37 SGB XI)</t>
  </si>
  <si>
    <t>Erstantrag</t>
  </si>
  <si>
    <t>Persönliche Befunderhebung</t>
  </si>
  <si>
    <t>Häusliches Wohnumfeld der oder des Versicherten</t>
  </si>
  <si>
    <t>nie oder max. einmal wöchentlich</t>
  </si>
  <si>
    <t xml:space="preserve">selbständig (ohne Begleitung) </t>
  </si>
  <si>
    <t xml:space="preserve">selbständig </t>
  </si>
  <si>
    <t>Teilnahme ist selbständig möglich</t>
  </si>
  <si>
    <t xml:space="preserve">Teilnahme selbständig möglich </t>
  </si>
  <si>
    <t>Teilnahme ist selbständig möglich</t>
  </si>
  <si>
    <t>Ambulante Pflegesachleistungen (§ 36 SGB XI)</t>
  </si>
  <si>
    <t>Erstantrag nach Eilbegutachtung</t>
  </si>
  <si>
    <t>Aktenlage, da antragstellende Person verstorben</t>
  </si>
  <si>
    <t>Vollstationäre Pflegeeinrichtung</t>
  </si>
  <si>
    <t>ja, aber noch nicht genehmigt</t>
  </si>
  <si>
    <t>mehrmals täglich</t>
  </si>
  <si>
    <t>mehrmals wöchentlich</t>
  </si>
  <si>
    <t xml:space="preserve">überwiegend selbständig (mit Unterstützung, aber auch mit Eigenaktivität der Person) </t>
  </si>
  <si>
    <t xml:space="preserve">nur auf gewohnten Wegen selbständig </t>
  </si>
  <si>
    <t xml:space="preserve">nur auf gewohnten Strecken selbständig </t>
  </si>
  <si>
    <t xml:space="preserve">benötigt nur Hilfe beim Ein-/Aussteigen (Hilfsperson während der Fahrt ist nicht erforderlich) </t>
  </si>
  <si>
    <t>nicht selbständig, Teilnahme ist nur mit unterstützender Begleitung möglich</t>
  </si>
  <si>
    <t xml:space="preserve">nicht selbständig, Teilnahme ist nur mit unterstützender Begleitung möglich </t>
  </si>
  <si>
    <t>Kombinationsleistung (§ 38 SGB XI)</t>
  </si>
  <si>
    <t>Rückstufungsantrag</t>
  </si>
  <si>
    <t>Aktenlage, da persönliche Befunderhebung nicht zumutbar</t>
  </si>
  <si>
    <t>Kurzzeitpflegeeinrichtung</t>
  </si>
  <si>
    <t>ja, Genehmigung liegt vor</t>
  </si>
  <si>
    <t>überwiegend</t>
  </si>
  <si>
    <t>einmal pro Nacht</t>
  </si>
  <si>
    <t xml:space="preserve">überwiegend/völlig unselbständig, Hilfe durch eine Person reicht jedoch aus </t>
  </si>
  <si>
    <t xml:space="preserve">auf allen Wegen nur mit personeller Hilfe möglich </t>
  </si>
  <si>
    <t xml:space="preserve">auf allen Strecken nur mit personeller Hilfe möglich </t>
  </si>
  <si>
    <t xml:space="preserve">benötigt Hilfe (auch) während der Fahrt mit dem PKW/Taxi (zusätzlich zum Fahrer) </t>
  </si>
  <si>
    <t xml:space="preserve">Teilnahme ist auch mit unterstützender Begleitung nicht möglich </t>
  </si>
  <si>
    <t xml:space="preserve">Teilnahme ist auch mit unterstützender Begleitung nicht möglich </t>
  </si>
  <si>
    <t>Kurzzeitpflege (§ 42 SGB XI)</t>
  </si>
  <si>
    <t>Höherstufungsantrag</t>
  </si>
  <si>
    <t>Aktenlage aus sonstigen Gründen, Begründung:</t>
  </si>
  <si>
    <t>Teilstationäre Pflegeeinrichtung</t>
  </si>
  <si>
    <t>durchgehend</t>
  </si>
  <si>
    <t>mehrmals nachts</t>
  </si>
  <si>
    <t xml:space="preserve">überwiegend/völlig unselbständig, Hilfe durch zwei Personen erforderlich </t>
  </si>
  <si>
    <t xml:space="preserve">auch mit personeller Hilfe nicht möglich </t>
  </si>
  <si>
    <t xml:space="preserve">nicht möglich, Liegendtransport oder Transport im Rollstuhl (Spezialfahrzeuge) notwendig </t>
  </si>
  <si>
    <t>Teilstationäre Pflege (§ 41 SGB XI)</t>
  </si>
  <si>
    <t>Wiederholungsbegutachtung</t>
  </si>
  <si>
    <t>Vollstationäre Einrichtungen der Hilfe für behinderte Menschen</t>
  </si>
  <si>
    <t>Vollstationäre Pflege (§ 43 SGB XI)</t>
  </si>
  <si>
    <t>Widerspruch</t>
  </si>
  <si>
    <t>Hospiz</t>
  </si>
  <si>
    <t>Pflege in vollstationären Einrichtungen der Hilfe für behinderte Menschen (§ 43a SGB XI)</t>
  </si>
  <si>
    <t>Rehabilitationseinrichtung</t>
  </si>
  <si>
    <t>Entlastungsbetrag (§ 45b SGB XI)</t>
  </si>
  <si>
    <t>Krankenhaus</t>
  </si>
  <si>
    <t>Sonstiges</t>
  </si>
</sst>
</file>

<file path=xl/styles.xml><?xml version="1.0" encoding="utf-8"?>
<styleSheet xmlns="http://schemas.openxmlformats.org/spreadsheetml/2006/main">
  <numFmts count="3">
    <numFmt numFmtId="0" formatCode="General"/>
    <numFmt numFmtId="59" formatCode="#,##0.00&quot; €&quot;"/>
    <numFmt numFmtId="60" formatCode="0.0"/>
  </numFmts>
  <fonts count="24">
    <font>
      <sz val="12"/>
      <color indexed="8"/>
      <name val="Calibri"/>
    </font>
    <font>
      <sz val="14"/>
      <color indexed="8"/>
      <name val="Calibri"/>
    </font>
    <font>
      <u val="single"/>
      <sz val="12"/>
      <color indexed="11"/>
      <name val="Calibri"/>
    </font>
    <font>
      <sz val="15"/>
      <color indexed="8"/>
      <name val="Calibri"/>
    </font>
    <font>
      <b val="1"/>
      <sz val="12"/>
      <color indexed="8"/>
      <name val="Calibri"/>
    </font>
    <font>
      <b val="1"/>
      <sz val="14"/>
      <color indexed="14"/>
      <name val="Calibri"/>
    </font>
    <font>
      <sz val="11"/>
      <color indexed="12"/>
      <name val="Calibri"/>
    </font>
    <font>
      <b val="1"/>
      <sz val="11"/>
      <color indexed="14"/>
      <name val="Calibri"/>
    </font>
    <font>
      <sz val="11"/>
      <color indexed="14"/>
      <name val="Calibri"/>
    </font>
    <font>
      <sz val="11"/>
      <color indexed="8"/>
      <name val="Calibri"/>
    </font>
    <font>
      <sz val="11"/>
      <color indexed="15"/>
      <name val="Calibri"/>
    </font>
    <font>
      <sz val="16"/>
      <color indexed="12"/>
      <name val="Calibri"/>
    </font>
    <font>
      <b val="1"/>
      <sz val="16"/>
      <color indexed="8"/>
      <name val="Calibri"/>
    </font>
    <font>
      <i val="1"/>
      <sz val="12"/>
      <color indexed="18"/>
      <name val="Calibri"/>
    </font>
    <font>
      <b val="1"/>
      <sz val="10"/>
      <color indexed="8"/>
      <name val="Calibri"/>
    </font>
    <font>
      <sz val="14"/>
      <color indexed="12"/>
      <name val="Calibri"/>
    </font>
    <font>
      <b val="1"/>
      <sz val="14"/>
      <color indexed="8"/>
      <name val="Calibri"/>
    </font>
    <font>
      <sz val="11"/>
      <color indexed="8"/>
      <name val="Helvetica Neue"/>
    </font>
    <font>
      <sz val="12"/>
      <color indexed="12"/>
      <name val="Calibri"/>
    </font>
    <font>
      <b val="1"/>
      <sz val="11"/>
      <color indexed="8"/>
      <name val="Calibri"/>
    </font>
    <font>
      <sz val="14"/>
      <color indexed="18"/>
      <name val="Calibri"/>
    </font>
    <font>
      <sz val="16"/>
      <color indexed="8"/>
      <name val="Calibri"/>
    </font>
    <font>
      <sz val="12"/>
      <color indexed="8"/>
      <name val="Helvetica Neue"/>
    </font>
    <font>
      <b val="1"/>
      <sz val="12"/>
      <color indexed="12"/>
      <name val="Calibri"/>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6"/>
        <bgColor auto="1"/>
      </patternFill>
    </fill>
  </fills>
  <borders count="75">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thin">
        <color indexed="8"/>
      </bottom>
      <diagonal/>
    </border>
    <border>
      <left/>
      <right style="thin">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16"/>
      </bottom>
      <diagonal/>
    </border>
    <border>
      <left/>
      <right style="thin">
        <color indexed="16"/>
      </right>
      <top/>
      <bottom/>
      <diagonal/>
    </border>
    <border>
      <left style="thin">
        <color indexed="16"/>
      </left>
      <right/>
      <top style="thin">
        <color indexed="16"/>
      </top>
      <bottom style="thin">
        <color indexed="16"/>
      </bottom>
      <diagonal/>
    </border>
    <border>
      <left/>
      <right/>
      <top style="thin">
        <color indexed="16"/>
      </top>
      <bottom style="thin">
        <color indexed="16"/>
      </bottom>
      <diagonal/>
    </border>
    <border>
      <left/>
      <right style="thin">
        <color indexed="16"/>
      </right>
      <top style="thin">
        <color indexed="16"/>
      </top>
      <bottom style="thin">
        <color indexed="16"/>
      </bottom>
      <diagonal/>
    </border>
    <border>
      <left style="thin">
        <color indexed="16"/>
      </left>
      <right/>
      <top/>
      <bottom/>
      <diagonal/>
    </border>
    <border>
      <left/>
      <right/>
      <top style="thin">
        <color indexed="16"/>
      </top>
      <bottom/>
      <diagonal/>
    </border>
    <border>
      <left style="thin">
        <color indexed="16"/>
      </left>
      <right/>
      <top style="thin">
        <color indexed="16"/>
      </top>
      <bottom/>
      <diagonal/>
    </border>
    <border>
      <left/>
      <right style="thin">
        <color indexed="16"/>
      </right>
      <top style="thin">
        <color indexed="16"/>
      </top>
      <bottom/>
      <diagonal/>
    </border>
    <border>
      <left style="thin">
        <color indexed="16"/>
      </left>
      <right/>
      <top/>
      <bottom style="thin">
        <color indexed="16"/>
      </bottom>
      <diagonal/>
    </border>
    <border>
      <left/>
      <right style="thin">
        <color indexed="16"/>
      </right>
      <top/>
      <bottom style="thin">
        <color indexed="16"/>
      </bottom>
      <diagonal/>
    </border>
    <border>
      <left style="thin">
        <color indexed="16"/>
      </left>
      <right style="thin">
        <color indexed="16"/>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16"/>
      </bottom>
      <diagonal/>
    </border>
    <border>
      <left/>
      <right/>
      <top style="thin">
        <color indexed="8"/>
      </top>
      <bottom style="medium">
        <color indexed="16"/>
      </bottom>
      <diagonal/>
    </border>
    <border>
      <left/>
      <right style="thin">
        <color indexed="8"/>
      </right>
      <top style="thin">
        <color indexed="8"/>
      </top>
      <bottom style="medium">
        <color indexed="16"/>
      </bottom>
      <diagonal/>
    </border>
    <border>
      <left style="thin">
        <color indexed="8"/>
      </left>
      <right style="thin">
        <color indexed="8"/>
      </right>
      <top style="thin">
        <color indexed="8"/>
      </top>
      <bottom style="medium">
        <color indexed="16"/>
      </bottom>
      <diagonal/>
    </border>
    <border>
      <left style="thin">
        <color indexed="8"/>
      </left>
      <right/>
      <top style="medium">
        <color indexed="16"/>
      </top>
      <bottom style="thin">
        <color indexed="8"/>
      </bottom>
      <diagonal/>
    </border>
    <border>
      <left/>
      <right/>
      <top style="medium">
        <color indexed="16"/>
      </top>
      <bottom style="thin">
        <color indexed="8"/>
      </bottom>
      <diagonal/>
    </border>
    <border>
      <left/>
      <right style="thin">
        <color indexed="8"/>
      </right>
      <top style="medium">
        <color indexed="16"/>
      </top>
      <bottom style="thin">
        <color indexed="8"/>
      </bottom>
      <diagonal/>
    </border>
    <border>
      <left style="thin">
        <color indexed="8"/>
      </left>
      <right/>
      <top style="medium">
        <color indexed="16"/>
      </top>
      <bottom/>
      <diagonal/>
    </border>
    <border>
      <left/>
      <right/>
      <top style="medium">
        <color indexed="16"/>
      </top>
      <bottom/>
      <diagonal/>
    </border>
    <border>
      <left/>
      <right style="thin">
        <color indexed="8"/>
      </right>
      <top style="medium">
        <color indexed="16"/>
      </top>
      <bottom/>
      <diagonal/>
    </border>
    <border>
      <left style="thin">
        <color indexed="8"/>
      </left>
      <right/>
      <top/>
      <bottom style="medium">
        <color indexed="16"/>
      </bottom>
      <diagonal/>
    </border>
    <border>
      <left/>
      <right/>
      <top/>
      <bottom style="medium">
        <color indexed="16"/>
      </bottom>
      <diagonal/>
    </border>
    <border>
      <left/>
      <right style="thin">
        <color indexed="8"/>
      </right>
      <top/>
      <bottom style="medium">
        <color indexed="16"/>
      </bottom>
      <diagonal/>
    </border>
    <border>
      <left style="thin">
        <color indexed="16"/>
      </left>
      <right style="thin">
        <color indexed="16"/>
      </right>
      <top style="thin">
        <color indexed="16"/>
      </top>
      <bottom style="thin">
        <color indexed="16"/>
      </bottom>
      <diagonal/>
    </border>
    <border>
      <left style="thin">
        <color indexed="13"/>
      </left>
      <right/>
      <top/>
      <bottom style="thin">
        <color indexed="13"/>
      </bottom>
      <diagonal/>
    </border>
    <border>
      <left/>
      <right style="thin">
        <color indexed="16"/>
      </right>
      <top/>
      <bottom style="thin">
        <color indexed="13"/>
      </bottom>
      <diagonal/>
    </border>
    <border>
      <left style="thin">
        <color indexed="16"/>
      </left>
      <right/>
      <top/>
      <bottom style="thin">
        <color indexed="13"/>
      </bottom>
      <diagonal/>
    </border>
    <border>
      <left/>
      <right style="thin">
        <color indexed="13"/>
      </right>
      <top/>
      <bottom style="thin">
        <color indexed="13"/>
      </bottom>
      <diagonal/>
    </border>
    <border>
      <left style="thin">
        <color indexed="8"/>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right/>
      <top style="thin">
        <color indexed="16"/>
      </top>
      <bottom style="thin">
        <color indexed="8"/>
      </bottom>
      <diagonal/>
    </border>
    <border>
      <left style="thin">
        <color indexed="8"/>
      </left>
      <right style="thin">
        <color indexed="8"/>
      </right>
      <top style="thin">
        <color indexed="8"/>
      </top>
      <bottom style="thin">
        <color indexed="8"/>
      </bottom>
      <diagonal/>
    </border>
    <border>
      <left/>
      <right/>
      <top/>
      <bottom style="thin">
        <color indexed="13"/>
      </bottom>
      <diagonal/>
    </border>
    <border>
      <left/>
      <right style="thin">
        <color indexed="8"/>
      </right>
      <top/>
      <bottom style="thin">
        <color indexed="13"/>
      </bottom>
      <diagonal/>
    </border>
    <border>
      <left style="thin">
        <color indexed="8"/>
      </left>
      <right/>
      <top/>
      <bottom style="thin">
        <color indexed="13"/>
      </bottom>
      <diagonal/>
    </border>
    <border>
      <left>
        <color indexed="25"/>
      </left>
      <right>
        <color indexed="25"/>
      </right>
      <top>
        <color indexed="25"/>
      </top>
      <bottom>
        <color indexed="25"/>
      </bottom>
      <diagonal/>
    </border>
    <border>
      <left/>
      <right style="medium">
        <color indexed="16"/>
      </right>
      <top style="thin">
        <color indexed="8"/>
      </top>
      <bottom style="thin">
        <color indexed="8"/>
      </bottom>
      <diagonal/>
    </border>
    <border>
      <left style="medium">
        <color indexed="16"/>
      </left>
      <right/>
      <top style="thin">
        <color indexed="8"/>
      </top>
      <bottom/>
      <diagonal/>
    </border>
    <border>
      <left/>
      <right style="medium">
        <color indexed="16"/>
      </right>
      <top style="thin">
        <color indexed="8"/>
      </top>
      <bottom style="medium">
        <color indexed="16"/>
      </bottom>
      <diagonal/>
    </border>
    <border>
      <left style="medium">
        <color indexed="16"/>
      </left>
      <right/>
      <top/>
      <bottom style="medium">
        <color indexed="16"/>
      </bottom>
      <diagonal/>
    </border>
    <border>
      <left style="thin">
        <color indexed="8"/>
      </left>
      <right style="medium">
        <color indexed="8"/>
      </right>
      <top style="medium">
        <color indexed="16"/>
      </top>
      <bottom/>
      <diagonal/>
    </border>
    <border>
      <left style="medium">
        <color indexed="8"/>
      </left>
      <right style="medium">
        <color indexed="16"/>
      </right>
      <top style="medium">
        <color indexed="16"/>
      </top>
      <bottom/>
      <diagonal/>
    </border>
    <border>
      <left style="medium">
        <color indexed="16"/>
      </left>
      <right style="medium">
        <color indexed="8"/>
      </right>
      <top style="medium">
        <color indexed="16"/>
      </top>
      <bottom/>
      <diagonal/>
    </border>
    <border>
      <left style="medium">
        <color indexed="8"/>
      </left>
      <right style="medium">
        <color indexed="8"/>
      </right>
      <top style="medium">
        <color indexed="16"/>
      </top>
      <bottom/>
      <diagonal/>
    </border>
    <border>
      <left style="medium">
        <color indexed="8"/>
      </left>
      <right style="thin">
        <color indexed="8"/>
      </right>
      <top style="medium">
        <color indexed="16"/>
      </top>
      <bottom/>
      <diagonal/>
    </border>
    <border>
      <left style="thin">
        <color indexed="8"/>
      </left>
      <right style="medium">
        <color indexed="8"/>
      </right>
      <top/>
      <bottom/>
      <diagonal/>
    </border>
    <border>
      <left style="medium">
        <color indexed="8"/>
      </left>
      <right style="medium">
        <color indexed="16"/>
      </right>
      <top/>
      <bottom/>
      <diagonal/>
    </border>
    <border>
      <left style="medium">
        <color indexed="16"/>
      </left>
      <right style="medium">
        <color indexed="8"/>
      </right>
      <top/>
      <bottom/>
      <diagonal/>
    </border>
    <border>
      <left style="medium">
        <color indexed="8"/>
      </left>
      <right style="medium">
        <color indexed="8"/>
      </right>
      <top/>
      <bottom/>
      <diagonal/>
    </border>
    <border>
      <left style="medium">
        <color indexed="8"/>
      </left>
      <right style="thin">
        <color indexed="8"/>
      </right>
      <top/>
      <bottom/>
      <diagonal/>
    </border>
    <border>
      <left style="thin">
        <color indexed="8"/>
      </left>
      <right style="medium">
        <color indexed="8"/>
      </right>
      <top/>
      <bottom style="medium">
        <color indexed="16"/>
      </bottom>
      <diagonal/>
    </border>
    <border>
      <left style="medium">
        <color indexed="8"/>
      </left>
      <right style="medium">
        <color indexed="16"/>
      </right>
      <top/>
      <bottom style="medium">
        <color indexed="16"/>
      </bottom>
      <diagonal/>
    </border>
    <border>
      <left style="medium">
        <color indexed="16"/>
      </left>
      <right style="medium">
        <color indexed="8"/>
      </right>
      <top/>
      <bottom style="medium">
        <color indexed="16"/>
      </bottom>
      <diagonal/>
    </border>
    <border>
      <left style="medium">
        <color indexed="8"/>
      </left>
      <right style="medium">
        <color indexed="8"/>
      </right>
      <top/>
      <bottom style="medium">
        <color indexed="16"/>
      </bottom>
      <diagonal/>
    </border>
    <border>
      <left style="medium">
        <color indexed="8"/>
      </left>
      <right style="thin">
        <color indexed="8"/>
      </right>
      <top/>
      <bottom style="medium">
        <color indexed="16"/>
      </bottom>
      <diagonal/>
    </border>
  </borders>
  <cellStyleXfs count="1">
    <xf numFmtId="0" fontId="0" applyNumberFormat="0" applyFont="1" applyFill="0" applyBorder="0" applyAlignment="1" applyProtection="0">
      <alignment vertical="bottom"/>
    </xf>
  </cellStyleXfs>
  <cellXfs count="447">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2"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center"/>
    </xf>
    <xf numFmtId="0" fontId="0" fillId="4" borderId="2" applyNumberFormat="0" applyFont="1" applyFill="1" applyBorder="1" applyAlignment="1" applyProtection="0">
      <alignment vertical="center"/>
    </xf>
    <xf numFmtId="0" fontId="0" fillId="4" borderId="3" applyNumberFormat="0" applyFont="1" applyFill="1" applyBorder="1" applyAlignment="1" applyProtection="0">
      <alignment vertical="center"/>
    </xf>
    <xf numFmtId="49" fontId="4" fillId="4" borderId="4" applyNumberFormat="1" applyFont="1" applyFill="1" applyBorder="1" applyAlignment="1" applyProtection="0">
      <alignment vertical="center"/>
    </xf>
    <xf numFmtId="0" fontId="0" fillId="4" borderId="5" applyNumberFormat="0" applyFont="1" applyFill="1" applyBorder="1" applyAlignment="1" applyProtection="0">
      <alignment vertical="center"/>
    </xf>
    <xf numFmtId="0" fontId="0" fillId="4" borderId="6" applyNumberFormat="0" applyFont="1" applyFill="1" applyBorder="1" applyAlignment="1" applyProtection="0">
      <alignment vertical="center"/>
    </xf>
    <xf numFmtId="0" fontId="0" fillId="4" borderId="4" applyNumberFormat="0" applyFont="1" applyFill="1" applyBorder="1" applyAlignment="1" applyProtection="0">
      <alignment vertical="center"/>
    </xf>
    <xf numFmtId="0" fontId="0" fillId="4" borderId="7" applyNumberFormat="0" applyFont="1" applyFill="1" applyBorder="1" applyAlignment="1" applyProtection="0">
      <alignment vertical="center"/>
    </xf>
    <xf numFmtId="0" fontId="0" fillId="4" borderId="8" applyNumberFormat="0" applyFont="1" applyFill="1" applyBorder="1" applyAlignment="1" applyProtection="0">
      <alignment vertical="center"/>
    </xf>
    <xf numFmtId="49" fontId="5" fillId="5" borderId="9" applyNumberFormat="1" applyFont="1" applyFill="1" applyBorder="1" applyAlignment="1" applyProtection="0">
      <alignment horizontal="left" vertical="top"/>
    </xf>
    <xf numFmtId="0" fontId="5" fillId="5" borderId="10" applyNumberFormat="0" applyFont="1" applyFill="1" applyBorder="1" applyAlignment="1" applyProtection="0">
      <alignment horizontal="left" vertical="top"/>
    </xf>
    <xf numFmtId="0" fontId="5" fillId="5" borderId="11" applyNumberFormat="0" applyFont="1" applyFill="1" applyBorder="1" applyAlignment="1" applyProtection="0">
      <alignment horizontal="left" vertical="top"/>
    </xf>
    <xf numFmtId="0" fontId="0" fillId="4" borderId="12" applyNumberFormat="0" applyFont="1" applyFill="1" applyBorder="1" applyAlignment="1" applyProtection="0">
      <alignment vertical="center"/>
    </xf>
    <xf numFmtId="0" fontId="6" fillId="4" borderId="4" applyNumberFormat="0" applyFont="1" applyFill="1" applyBorder="1" applyAlignment="1" applyProtection="0">
      <alignment vertical="center"/>
    </xf>
    <xf numFmtId="0" fontId="6" fillId="4" borderId="8" applyNumberFormat="0" applyFont="1" applyFill="1" applyBorder="1" applyAlignment="1" applyProtection="0">
      <alignment vertical="center"/>
    </xf>
    <xf numFmtId="49" fontId="7" fillId="5" borderId="12" applyNumberFormat="1" applyFont="1" applyFill="1" applyBorder="1" applyAlignment="1" applyProtection="0">
      <alignment vertical="top"/>
    </xf>
    <xf numFmtId="0" fontId="8" fillId="5" borderId="5" applyNumberFormat="0" applyFont="1" applyFill="1" applyBorder="1" applyAlignment="1" applyProtection="0">
      <alignment vertical="top"/>
    </xf>
    <xf numFmtId="49" fontId="9" fillId="5" borderId="5" applyNumberFormat="1" applyFont="1" applyFill="1" applyBorder="1" applyAlignment="1" applyProtection="0">
      <alignment horizontal="left" vertical="top"/>
    </xf>
    <xf numFmtId="0" fontId="0" fillId="5" borderId="5" applyNumberFormat="0" applyFont="1" applyFill="1" applyBorder="1" applyAlignment="1" applyProtection="0">
      <alignment vertical="top"/>
    </xf>
    <xf numFmtId="49" fontId="7" fillId="5" borderId="5" applyNumberFormat="1" applyFont="1" applyFill="1" applyBorder="1" applyAlignment="1" applyProtection="0">
      <alignment horizontal="right" vertical="top"/>
    </xf>
    <xf numFmtId="0" fontId="7" fillId="5" borderId="5" applyNumberFormat="0" applyFont="1" applyFill="1" applyBorder="1" applyAlignment="1" applyProtection="0">
      <alignment horizontal="right" vertical="top"/>
    </xf>
    <xf numFmtId="14" fontId="10" fillId="5" borderId="5" applyNumberFormat="1" applyFont="1" applyFill="1" applyBorder="1" applyAlignment="1" applyProtection="0">
      <alignment horizontal="right" vertical="top"/>
    </xf>
    <xf numFmtId="14" fontId="10" fillId="5" borderId="8" applyNumberFormat="1" applyFont="1" applyFill="1" applyBorder="1" applyAlignment="1" applyProtection="0">
      <alignment horizontal="right" vertical="top"/>
    </xf>
    <xf numFmtId="49" fontId="7" fillId="5" borderId="13" applyNumberFormat="1" applyFont="1" applyFill="1" applyBorder="1" applyAlignment="1" applyProtection="0">
      <alignment horizontal="left" vertical="top"/>
    </xf>
    <xf numFmtId="0" fontId="7" fillId="5" borderId="7" applyNumberFormat="0" applyFont="1" applyFill="1" applyBorder="1" applyAlignment="1" applyProtection="0">
      <alignment horizontal="left" vertical="top"/>
    </xf>
    <xf numFmtId="14" fontId="10" fillId="5" borderId="7" applyNumberFormat="1" applyFont="1" applyFill="1" applyBorder="1" applyAlignment="1" applyProtection="0">
      <alignment horizontal="left" vertical="top"/>
    </xf>
    <xf numFmtId="0" fontId="0" fillId="5" borderId="7" applyNumberFormat="0" applyFont="1" applyFill="1" applyBorder="1" applyAlignment="1" applyProtection="0">
      <alignment vertical="top"/>
    </xf>
    <xf numFmtId="0" fontId="0" fillId="5" borderId="14" applyNumberFormat="0" applyFont="1" applyFill="1" applyBorder="1" applyAlignment="1" applyProtection="0">
      <alignment vertical="top"/>
    </xf>
    <xf numFmtId="0" fontId="0" fillId="4" borderId="10" applyNumberFormat="0" applyFont="1" applyFill="1" applyBorder="1" applyAlignment="1" applyProtection="0">
      <alignment vertical="center"/>
    </xf>
    <xf numFmtId="0" fontId="11" fillId="4" borderId="4" applyNumberFormat="0" applyFont="1" applyFill="1" applyBorder="1" applyAlignment="1" applyProtection="0">
      <alignment vertical="center"/>
    </xf>
    <xf numFmtId="0" fontId="11" fillId="4" borderId="5" applyNumberFormat="0" applyFont="1" applyFill="1" applyBorder="1" applyAlignment="1" applyProtection="0">
      <alignment vertical="center"/>
    </xf>
    <xf numFmtId="49" fontId="12" fillId="4" borderId="5" applyNumberFormat="1" applyFont="1" applyFill="1" applyBorder="1" applyAlignment="1" applyProtection="0">
      <alignment horizontal="left" vertical="center"/>
    </xf>
    <xf numFmtId="0" fontId="12" fillId="4" borderId="5" applyNumberFormat="0" applyFont="1" applyFill="1" applyBorder="1" applyAlignment="1" applyProtection="0">
      <alignment horizontal="left" vertical="center"/>
    </xf>
    <xf numFmtId="0" fontId="0" fillId="4" borderId="15" applyNumberFormat="0" applyFont="1" applyFill="1" applyBorder="1" applyAlignment="1" applyProtection="0">
      <alignment vertical="center"/>
    </xf>
    <xf numFmtId="49" fontId="4" fillId="4" borderId="5" applyNumberFormat="1" applyFont="1" applyFill="1" applyBorder="1" applyAlignment="1" applyProtection="0">
      <alignment horizontal="left" vertical="center"/>
    </xf>
    <xf numFmtId="0" fontId="4" fillId="4" borderId="5" applyNumberFormat="0" applyFont="1" applyFill="1" applyBorder="1" applyAlignment="1" applyProtection="0">
      <alignment horizontal="left" vertical="center"/>
    </xf>
    <xf numFmtId="0" fontId="4" fillId="4" borderId="16" applyNumberFormat="0" applyFont="1" applyFill="1" applyBorder="1" applyAlignment="1" applyProtection="0">
      <alignment horizontal="left" vertical="center"/>
    </xf>
    <xf numFmtId="14" fontId="0" fillId="6" borderId="17" applyNumberFormat="1" applyFont="1" applyFill="1" applyBorder="1" applyAlignment="1" applyProtection="0">
      <alignment horizontal="left" vertical="center" wrapText="1"/>
    </xf>
    <xf numFmtId="14" fontId="0" fillId="6" borderId="18" applyNumberFormat="1" applyFont="1" applyFill="1" applyBorder="1" applyAlignment="1" applyProtection="0">
      <alignment horizontal="left" vertical="center" wrapText="1"/>
    </xf>
    <xf numFmtId="14" fontId="0" fillId="6" borderId="19" applyNumberFormat="1" applyFont="1" applyFill="1" applyBorder="1" applyAlignment="1" applyProtection="0">
      <alignment horizontal="left" vertical="center" wrapText="1"/>
    </xf>
    <xf numFmtId="0" fontId="0" fillId="4" borderId="20" applyNumberFormat="0" applyFont="1" applyFill="1" applyBorder="1" applyAlignment="1" applyProtection="0">
      <alignment vertical="center"/>
    </xf>
    <xf numFmtId="0" fontId="0" fillId="4" borderId="21" applyNumberFormat="0" applyFont="1" applyFill="1" applyBorder="1" applyAlignment="1" applyProtection="0">
      <alignment vertical="center"/>
    </xf>
    <xf numFmtId="49" fontId="0" fillId="4" borderId="5" applyNumberFormat="1" applyFont="1" applyFill="1" applyBorder="1" applyAlignment="1" applyProtection="0">
      <alignment vertical="center"/>
    </xf>
    <xf numFmtId="0" fontId="0" fillId="4" borderId="16" applyNumberFormat="0" applyFont="1" applyFill="1" applyBorder="1" applyAlignment="1" applyProtection="0">
      <alignment vertical="center"/>
    </xf>
    <xf numFmtId="49" fontId="0" fillId="6" borderId="17" applyNumberFormat="1" applyFont="1" applyFill="1" applyBorder="1" applyAlignment="1" applyProtection="0">
      <alignment horizontal="left" vertical="center" wrapText="1"/>
    </xf>
    <xf numFmtId="49" fontId="0" fillId="6" borderId="18" applyNumberFormat="1" applyFont="1" applyFill="1" applyBorder="1" applyAlignment="1" applyProtection="0">
      <alignment horizontal="left" vertical="center" wrapText="1"/>
    </xf>
    <xf numFmtId="49" fontId="0" fillId="6" borderId="19" applyNumberFormat="1" applyFont="1" applyFill="1" applyBorder="1" applyAlignment="1" applyProtection="0">
      <alignment horizontal="left" vertical="center" wrapText="1"/>
    </xf>
    <xf numFmtId="49" fontId="0" fillId="4" borderId="5" applyNumberFormat="1" applyFont="1" applyFill="1" applyBorder="1" applyAlignment="1" applyProtection="0">
      <alignment horizontal="left" vertical="center"/>
    </xf>
    <xf numFmtId="0" fontId="0" fillId="4" borderId="16" applyNumberFormat="0" applyFont="1" applyFill="1" applyBorder="1" applyAlignment="1" applyProtection="0">
      <alignment horizontal="left" vertical="center"/>
    </xf>
    <xf numFmtId="0" fontId="0" fillId="6" borderId="17" applyNumberFormat="0" applyFont="1" applyFill="1" applyBorder="1" applyAlignment="1" applyProtection="0">
      <alignment horizontal="left" vertical="center" wrapText="1"/>
    </xf>
    <xf numFmtId="0" fontId="0" fillId="6" borderId="18" applyNumberFormat="0" applyFont="1" applyFill="1" applyBorder="1" applyAlignment="1" applyProtection="0">
      <alignment horizontal="left" vertical="center" wrapText="1"/>
    </xf>
    <xf numFmtId="0" fontId="0" fillId="6" borderId="19" applyNumberFormat="0" applyFont="1" applyFill="1" applyBorder="1" applyAlignment="1" applyProtection="0">
      <alignment horizontal="left" vertical="center" wrapText="1"/>
    </xf>
    <xf numFmtId="0" fontId="0" fillId="4" borderId="18" applyNumberFormat="0" applyFont="1" applyFill="1" applyBorder="1" applyAlignment="1" applyProtection="0">
      <alignment vertical="center"/>
    </xf>
    <xf numFmtId="1" fontId="0" fillId="6" borderId="17" applyNumberFormat="1" applyFont="1" applyFill="1" applyBorder="1" applyAlignment="1" applyProtection="0">
      <alignment horizontal="left" vertical="center" wrapText="1"/>
    </xf>
    <xf numFmtId="1" fontId="0" fillId="6" borderId="18" applyNumberFormat="1" applyFont="1" applyFill="1" applyBorder="1" applyAlignment="1" applyProtection="0">
      <alignment horizontal="left" vertical="center" wrapText="1"/>
    </xf>
    <xf numFmtId="1" fontId="0" fillId="6" borderId="19" applyNumberFormat="1" applyFont="1" applyFill="1" applyBorder="1" applyAlignment="1" applyProtection="0">
      <alignment horizontal="left" vertical="center" wrapText="1"/>
    </xf>
    <xf numFmtId="0" fontId="0" fillId="4" borderId="5" applyNumberFormat="0" applyFont="1" applyFill="1" applyBorder="1" applyAlignment="1" applyProtection="0">
      <alignment horizontal="left" vertical="center"/>
    </xf>
    <xf numFmtId="49" fontId="13" fillId="4" borderId="15" applyNumberFormat="1" applyFont="1" applyFill="1" applyBorder="1" applyAlignment="1" applyProtection="0">
      <alignment horizontal="right" vertical="center"/>
    </xf>
    <xf numFmtId="0" fontId="0" fillId="6" borderId="17" applyNumberFormat="0" applyFont="1" applyFill="1" applyBorder="1" applyAlignment="1" applyProtection="0">
      <alignment horizontal="left" vertical="center"/>
    </xf>
    <xf numFmtId="49" fontId="0" fillId="6" borderId="18" applyNumberFormat="1" applyFont="1" applyFill="1" applyBorder="1" applyAlignment="1" applyProtection="0">
      <alignment horizontal="left" vertical="center"/>
    </xf>
    <xf numFmtId="49" fontId="0" fillId="6" borderId="19" applyNumberFormat="1" applyFont="1" applyFill="1" applyBorder="1" applyAlignment="1" applyProtection="0">
      <alignment horizontal="left" vertical="center"/>
    </xf>
    <xf numFmtId="0" fontId="0" fillId="6" borderId="17" applyNumberFormat="0" applyFont="1" applyFill="1" applyBorder="1" applyAlignment="1" applyProtection="0">
      <alignment vertical="center"/>
    </xf>
    <xf numFmtId="0" fontId="0" fillId="6" borderId="18" applyNumberFormat="0" applyFont="1" applyFill="1" applyBorder="1" applyAlignment="1" applyProtection="0">
      <alignment vertical="center"/>
    </xf>
    <xf numFmtId="0" fontId="0" fillId="6" borderId="19" applyNumberFormat="0" applyFont="1" applyFill="1" applyBorder="1" applyAlignment="1" applyProtection="0">
      <alignment vertical="center"/>
    </xf>
    <xf numFmtId="0" fontId="0" fillId="6" borderId="22" applyNumberFormat="0" applyFont="1" applyFill="1" applyBorder="1" applyAlignment="1" applyProtection="0">
      <alignment vertical="center"/>
    </xf>
    <xf numFmtId="49" fontId="0" fillId="6" borderId="21" applyNumberFormat="1" applyFont="1" applyFill="1" applyBorder="1" applyAlignment="1" applyProtection="0">
      <alignment horizontal="left" vertical="center"/>
    </xf>
    <xf numFmtId="0" fontId="0" fillId="6" borderId="21" applyNumberFormat="0" applyFont="1" applyFill="1" applyBorder="1" applyAlignment="1" applyProtection="0">
      <alignment horizontal="left" vertical="center"/>
    </xf>
    <xf numFmtId="0" fontId="0" fillId="6" borderId="23" applyNumberFormat="0" applyFont="1" applyFill="1" applyBorder="1" applyAlignment="1" applyProtection="0">
      <alignment horizontal="left" vertical="center"/>
    </xf>
    <xf numFmtId="0" fontId="0" fillId="6" borderId="20" applyNumberFormat="0" applyFont="1" applyFill="1" applyBorder="1" applyAlignment="1" applyProtection="0">
      <alignment vertical="center"/>
    </xf>
    <xf numFmtId="49" fontId="0" fillId="6" borderId="5" applyNumberFormat="1" applyFont="1" applyFill="1" applyBorder="1" applyAlignment="1" applyProtection="0">
      <alignment horizontal="left" vertical="center"/>
    </xf>
    <xf numFmtId="0" fontId="0" fillId="6" borderId="5" applyNumberFormat="0" applyFont="1" applyFill="1" applyBorder="1" applyAlignment="1" applyProtection="0">
      <alignment horizontal="left" vertical="center"/>
    </xf>
    <xf numFmtId="0" fontId="0" fillId="6" borderId="16" applyNumberFormat="0" applyFont="1" applyFill="1" applyBorder="1" applyAlignment="1" applyProtection="0">
      <alignment horizontal="left" vertical="center"/>
    </xf>
    <xf numFmtId="0" fontId="0" fillId="6" borderId="24" applyNumberFormat="0" applyFont="1" applyFill="1" applyBorder="1" applyAlignment="1" applyProtection="0">
      <alignment vertical="center"/>
    </xf>
    <xf numFmtId="49" fontId="0" fillId="6" borderId="15" applyNumberFormat="1" applyFont="1" applyFill="1" applyBorder="1" applyAlignment="1" applyProtection="0">
      <alignment horizontal="left" vertical="center"/>
    </xf>
    <xf numFmtId="0" fontId="0" fillId="6" borderId="15" applyNumberFormat="0" applyFont="1" applyFill="1" applyBorder="1" applyAlignment="1" applyProtection="0">
      <alignment horizontal="left" vertical="center"/>
    </xf>
    <xf numFmtId="0" fontId="0" fillId="6" borderId="25" applyNumberFormat="0" applyFont="1" applyFill="1" applyBorder="1" applyAlignment="1" applyProtection="0">
      <alignment horizontal="left" vertical="center"/>
    </xf>
    <xf numFmtId="49" fontId="4" fillId="4" borderId="15" applyNumberFormat="1" applyFont="1" applyFill="1" applyBorder="1" applyAlignment="1" applyProtection="0">
      <alignment horizontal="left" vertical="center"/>
    </xf>
    <xf numFmtId="0" fontId="4" fillId="4" borderId="15" applyNumberFormat="0" applyFont="1" applyFill="1" applyBorder="1" applyAlignment="1" applyProtection="0">
      <alignment horizontal="left" vertical="center"/>
    </xf>
    <xf numFmtId="49" fontId="0" fillId="6" borderId="17" applyNumberFormat="1" applyFont="1" applyFill="1" applyBorder="1" applyAlignment="1" applyProtection="0">
      <alignment horizontal="left" vertical="top" wrapText="1"/>
    </xf>
    <xf numFmtId="49" fontId="0" fillId="6" borderId="18" applyNumberFormat="1" applyFont="1" applyFill="1" applyBorder="1" applyAlignment="1" applyProtection="0">
      <alignment horizontal="left" vertical="top" wrapText="1"/>
    </xf>
    <xf numFmtId="49" fontId="0" fillId="6" borderId="19" applyNumberFormat="1" applyFont="1" applyFill="1" applyBorder="1" applyAlignment="1" applyProtection="0">
      <alignment horizontal="left" vertical="top" wrapText="1"/>
    </xf>
    <xf numFmtId="20" fontId="0" fillId="6" borderId="17" applyNumberFormat="1" applyFont="1" applyFill="1" applyBorder="1" applyAlignment="1" applyProtection="0">
      <alignment horizontal="left" vertical="center" wrapText="1"/>
    </xf>
    <xf numFmtId="20" fontId="0" fillId="6" borderId="18" applyNumberFormat="1" applyFont="1" applyFill="1" applyBorder="1" applyAlignment="1" applyProtection="0">
      <alignment horizontal="left" vertical="center" wrapText="1"/>
    </xf>
    <xf numFmtId="20" fontId="0" fillId="6" borderId="19" applyNumberFormat="1" applyFont="1" applyFill="1" applyBorder="1" applyAlignment="1" applyProtection="0">
      <alignment horizontal="left" vertical="center" wrapText="1"/>
    </xf>
    <xf numFmtId="49" fontId="0" fillId="6" borderId="17" applyNumberFormat="1" applyFont="1" applyFill="1" applyBorder="1" applyAlignment="1" applyProtection="0">
      <alignment horizontal="center" vertical="center" wrapText="1"/>
    </xf>
    <xf numFmtId="49" fontId="0" fillId="6" borderId="18" applyNumberFormat="1" applyFont="1" applyFill="1" applyBorder="1" applyAlignment="1" applyProtection="0">
      <alignment horizontal="center" vertical="center" wrapText="1"/>
    </xf>
    <xf numFmtId="49" fontId="0" fillId="6" borderId="19" applyNumberFormat="1" applyFont="1" applyFill="1" applyBorder="1" applyAlignment="1" applyProtection="0">
      <alignment horizontal="center" vertical="center" wrapText="1"/>
    </xf>
    <xf numFmtId="0" fontId="4" fillId="4" borderId="18" applyNumberFormat="0" applyFont="1" applyFill="1" applyBorder="1" applyAlignment="1" applyProtection="0">
      <alignment horizontal="left" vertical="center"/>
    </xf>
    <xf numFmtId="49" fontId="0" fillId="4" borderId="4" applyNumberFormat="1" applyFont="1" applyFill="1" applyBorder="1" applyAlignment="1" applyProtection="0">
      <alignment vertical="center"/>
    </xf>
    <xf numFmtId="0" fontId="0" fillId="4" borderId="5" applyNumberFormat="1" applyFont="1" applyFill="1" applyBorder="1" applyAlignment="1" applyProtection="0">
      <alignment vertical="center"/>
    </xf>
    <xf numFmtId="49" fontId="4" fillId="4" borderId="5" applyNumberFormat="1" applyFont="1" applyFill="1" applyBorder="1" applyAlignment="1" applyProtection="0">
      <alignment vertical="center"/>
    </xf>
    <xf numFmtId="0" fontId="4" fillId="4" borderId="5" applyNumberFormat="0" applyFont="1" applyFill="1" applyBorder="1" applyAlignment="1" applyProtection="0">
      <alignment vertical="center"/>
    </xf>
    <xf numFmtId="49" fontId="4" fillId="4" borderId="5" applyNumberFormat="1" applyFont="1" applyFill="1" applyBorder="1" applyAlignment="1" applyProtection="0">
      <alignment vertical="top"/>
    </xf>
    <xf numFmtId="49" fontId="4" fillId="4" borderId="5" applyNumberFormat="1" applyFont="1" applyFill="1" applyBorder="1" applyAlignment="1" applyProtection="0">
      <alignment horizontal="left" vertical="center" wrapText="1"/>
    </xf>
    <xf numFmtId="0" fontId="4" fillId="4" borderId="5" applyNumberFormat="0" applyFont="1" applyFill="1" applyBorder="1" applyAlignment="1" applyProtection="0">
      <alignment horizontal="left" vertical="center" wrapText="1"/>
    </xf>
    <xf numFmtId="49" fontId="0" fillId="4" borderId="15" applyNumberFormat="1" applyFont="1" applyFill="1" applyBorder="1" applyAlignment="1" applyProtection="0">
      <alignment horizontal="left" vertical="center"/>
    </xf>
    <xf numFmtId="0" fontId="0" fillId="4" borderId="15" applyNumberFormat="0" applyFont="1" applyFill="1" applyBorder="1" applyAlignment="1" applyProtection="0">
      <alignment horizontal="left" vertical="center"/>
    </xf>
    <xf numFmtId="0" fontId="0" fillId="6" borderId="26" applyNumberFormat="0" applyFont="1" applyFill="1" applyBorder="1" applyAlignment="1" applyProtection="0">
      <alignment vertical="center"/>
    </xf>
    <xf numFmtId="49" fontId="0" fillId="7" borderId="17" applyNumberFormat="1" applyFont="1" applyFill="1" applyBorder="1" applyAlignment="1" applyProtection="0">
      <alignment horizontal="left" vertical="top" wrapText="1"/>
    </xf>
    <xf numFmtId="49" fontId="0" fillId="7" borderId="18" applyNumberFormat="1" applyFont="1" applyFill="1" applyBorder="1" applyAlignment="1" applyProtection="0">
      <alignment horizontal="left" vertical="top" wrapText="1"/>
    </xf>
    <xf numFmtId="49" fontId="0" fillId="7" borderId="19" applyNumberFormat="1" applyFont="1" applyFill="1" applyBorder="1" applyAlignment="1" applyProtection="0">
      <alignment horizontal="left" vertical="top" wrapText="1"/>
    </xf>
    <xf numFmtId="0" fontId="0" fillId="6" borderId="26" applyNumberFormat="0" applyFont="1" applyFill="1" applyBorder="1" applyAlignment="1" applyProtection="0">
      <alignment horizontal="left" vertical="center"/>
    </xf>
    <xf numFmtId="0" fontId="0" fillId="6" borderId="18" applyNumberFormat="0" applyFont="1" applyFill="1" applyBorder="1" applyAlignment="1" applyProtection="0">
      <alignment horizontal="left" vertical="center"/>
    </xf>
    <xf numFmtId="0" fontId="0" fillId="6" borderId="19" applyNumberFormat="0" applyFont="1" applyFill="1" applyBorder="1" applyAlignment="1" applyProtection="0">
      <alignment horizontal="left" vertical="center"/>
    </xf>
    <xf numFmtId="0" fontId="4" fillId="4" borderId="15" applyNumberFormat="0" applyFont="1" applyFill="1" applyBorder="1" applyAlignment="1" applyProtection="0">
      <alignment vertical="center"/>
    </xf>
    <xf numFmtId="0" fontId="0" fillId="6" borderId="5" applyNumberFormat="0" applyFont="1" applyFill="1" applyBorder="1" applyAlignment="1" applyProtection="0">
      <alignment vertical="center"/>
    </xf>
    <xf numFmtId="49" fontId="0" fillId="7" borderId="17" applyNumberFormat="1" applyFont="1" applyFill="1" applyBorder="1" applyAlignment="1" applyProtection="0">
      <alignment horizontal="left" vertical="center" wrapText="1"/>
    </xf>
    <xf numFmtId="49" fontId="0" fillId="7" borderId="18" applyNumberFormat="1" applyFont="1" applyFill="1" applyBorder="1" applyAlignment="1" applyProtection="0">
      <alignment horizontal="left" vertical="center" wrapText="1"/>
    </xf>
    <xf numFmtId="49" fontId="0" fillId="7" borderId="19" applyNumberFormat="1" applyFont="1" applyFill="1" applyBorder="1" applyAlignment="1" applyProtection="0">
      <alignment horizontal="left" vertical="center" wrapText="1"/>
    </xf>
    <xf numFmtId="0" fontId="0" fillId="6" borderId="15" applyNumberFormat="0" applyFont="1" applyFill="1" applyBorder="1" applyAlignment="1" applyProtection="0">
      <alignment vertical="center"/>
    </xf>
    <xf numFmtId="0" fontId="0" fillId="6" borderId="16" applyNumberFormat="0" applyFont="1" applyFill="1" applyBorder="1" applyAlignment="1" applyProtection="0">
      <alignment vertical="center"/>
    </xf>
    <xf numFmtId="49" fontId="0" fillId="6" borderId="21" applyNumberFormat="1" applyFont="1" applyFill="1" applyBorder="1" applyAlignment="1" applyProtection="0">
      <alignment vertical="center"/>
    </xf>
    <xf numFmtId="0" fontId="0" fillId="6" borderId="21" applyNumberFormat="0" applyFont="1" applyFill="1" applyBorder="1" applyAlignment="1" applyProtection="0">
      <alignment vertical="center"/>
    </xf>
    <xf numFmtId="49" fontId="0" fillId="6" borderId="18" applyNumberFormat="1" applyFont="1" applyFill="1" applyBorder="1" applyAlignment="1" applyProtection="0">
      <alignment vertical="center"/>
    </xf>
    <xf numFmtId="0" fontId="0" fillId="6" borderId="23" applyNumberFormat="0" applyFont="1" applyFill="1" applyBorder="1" applyAlignment="1" applyProtection="0">
      <alignment vertical="center"/>
    </xf>
    <xf numFmtId="0" fontId="0" fillId="4" borderId="14" applyNumberFormat="0" applyFont="1" applyFill="1" applyBorder="1" applyAlignment="1" applyProtection="0">
      <alignment vertical="center"/>
    </xf>
    <xf numFmtId="49" fontId="9" fillId="8" borderId="27" applyNumberFormat="1" applyFont="1" applyFill="1" applyBorder="1" applyAlignment="1" applyProtection="0">
      <alignment horizontal="center" vertical="center" wrapText="1"/>
    </xf>
    <xf numFmtId="0" fontId="9" fillId="8" borderId="28" applyNumberFormat="0" applyFont="1" applyFill="1" applyBorder="1" applyAlignment="1" applyProtection="0">
      <alignment horizontal="center" vertical="center" wrapText="1"/>
    </xf>
    <xf numFmtId="0" fontId="9" fillId="8" borderId="29" applyNumberFormat="0" applyFont="1" applyFill="1" applyBorder="1" applyAlignment="1" applyProtection="0">
      <alignment horizontal="center" vertical="center" wrapText="1"/>
    </xf>
    <xf numFmtId="49" fontId="0" fillId="5" borderId="30" applyNumberFormat="1" applyFont="1" applyFill="1" applyBorder="1" applyAlignment="1" applyProtection="0">
      <alignment vertical="center"/>
    </xf>
    <xf numFmtId="0" fontId="0" fillId="5" borderId="31" applyNumberFormat="0" applyFont="1" applyFill="1" applyBorder="1" applyAlignment="1" applyProtection="0">
      <alignment vertical="center"/>
    </xf>
    <xf numFmtId="0" fontId="0" fillId="5" borderId="32" applyNumberFormat="0" applyFont="1" applyFill="1" applyBorder="1" applyAlignment="1" applyProtection="0">
      <alignment vertical="center"/>
    </xf>
    <xf numFmtId="49" fontId="9" fillId="6" borderId="33" applyNumberFormat="1" applyFont="1" applyFill="1" applyBorder="1" applyAlignment="1" applyProtection="0">
      <alignment horizontal="center" vertical="center" wrapText="1"/>
    </xf>
    <xf numFmtId="0" fontId="9" fillId="6" borderId="33" applyNumberFormat="0" applyFont="1" applyFill="1" applyBorder="1" applyAlignment="1" applyProtection="0">
      <alignment horizontal="center" vertical="center" wrapText="1"/>
    </xf>
    <xf numFmtId="49" fontId="9" fillId="9" borderId="33" applyNumberFormat="1" applyFont="1" applyFill="1" applyBorder="1" applyAlignment="1" applyProtection="0">
      <alignment horizontal="center" vertical="center" wrapText="1"/>
    </xf>
    <xf numFmtId="0" fontId="9" fillId="9" borderId="33" applyNumberFormat="0" applyFont="1" applyFill="1" applyBorder="1" applyAlignment="1" applyProtection="0">
      <alignment horizontal="center" vertical="center" wrapText="1"/>
    </xf>
    <xf numFmtId="49" fontId="9" fillId="10" borderId="30" applyNumberFormat="1" applyFont="1" applyFill="1" applyBorder="1" applyAlignment="1" applyProtection="0">
      <alignment horizontal="center" vertical="center" wrapText="1"/>
    </xf>
    <xf numFmtId="0" fontId="9" fillId="10" borderId="31" applyNumberFormat="0" applyFont="1" applyFill="1" applyBorder="1" applyAlignment="1" applyProtection="0">
      <alignment horizontal="center" vertical="center" wrapText="1"/>
    </xf>
    <xf numFmtId="0" fontId="9" fillId="10" borderId="32" applyNumberFormat="0" applyFont="1" applyFill="1" applyBorder="1" applyAlignment="1" applyProtection="0">
      <alignment horizontal="center" vertical="center" wrapText="1"/>
    </xf>
    <xf numFmtId="49" fontId="0" fillId="6" borderId="34" applyNumberFormat="1" applyFont="1" applyFill="1" applyBorder="1" applyAlignment="1" applyProtection="0">
      <alignment horizontal="left" vertical="center"/>
    </xf>
    <xf numFmtId="0" fontId="0" fillId="6" borderId="35" applyNumberFormat="0" applyFont="1" applyFill="1" applyBorder="1" applyAlignment="1" applyProtection="0">
      <alignment horizontal="left" vertical="center"/>
    </xf>
    <xf numFmtId="0" fontId="0" fillId="6" borderId="36" applyNumberFormat="0" applyFont="1" applyFill="1" applyBorder="1" applyAlignment="1" applyProtection="0">
      <alignment horizontal="left" vertical="center"/>
    </xf>
    <xf numFmtId="0" fontId="0" fillId="4" borderId="34" applyNumberFormat="0" applyFont="1" applyFill="1" applyBorder="1" applyAlignment="1" applyProtection="0">
      <alignment horizontal="left" vertical="center" wrapText="1"/>
    </xf>
    <xf numFmtId="0" fontId="0" fillId="4" borderId="35" applyNumberFormat="0" applyFont="1" applyFill="1" applyBorder="1" applyAlignment="1" applyProtection="0">
      <alignment horizontal="left" vertical="center" wrapText="1"/>
    </xf>
    <xf numFmtId="0" fontId="0" fillId="4" borderId="36" applyNumberFormat="0" applyFont="1" applyFill="1" applyBorder="1" applyAlignment="1" applyProtection="0">
      <alignment horizontal="left" vertical="center" wrapText="1"/>
    </xf>
    <xf numFmtId="1" fontId="0" fillId="4" borderId="37" applyNumberFormat="1" applyFont="1" applyFill="1" applyBorder="1" applyAlignment="1" applyProtection="0">
      <alignment horizontal="center" vertical="center"/>
    </xf>
    <xf numFmtId="1" fontId="0" fillId="4" borderId="38" applyNumberFormat="1" applyFont="1" applyFill="1" applyBorder="1" applyAlignment="1" applyProtection="0">
      <alignment horizontal="center" vertical="center"/>
    </xf>
    <xf numFmtId="1" fontId="0" fillId="4" borderId="39" applyNumberFormat="1" applyFont="1" applyFill="1" applyBorder="1" applyAlignment="1" applyProtection="0">
      <alignment horizontal="center" vertical="center"/>
    </xf>
    <xf numFmtId="49" fontId="0" fillId="6" borderId="27" applyNumberFormat="1" applyFont="1" applyFill="1" applyBorder="1" applyAlignment="1" applyProtection="0">
      <alignment horizontal="left" vertical="center"/>
    </xf>
    <xf numFmtId="0" fontId="0" fillId="6" borderId="28" applyNumberFormat="0" applyFont="1" applyFill="1" applyBorder="1" applyAlignment="1" applyProtection="0">
      <alignment horizontal="left" vertical="center"/>
    </xf>
    <xf numFmtId="0" fontId="0" fillId="6" borderId="29" applyNumberFormat="0" applyFont="1" applyFill="1" applyBorder="1" applyAlignment="1" applyProtection="0">
      <alignment horizontal="left" vertical="center"/>
    </xf>
    <xf numFmtId="14" fontId="0" fillId="4" borderId="27" applyNumberFormat="1" applyFont="1" applyFill="1" applyBorder="1" applyAlignment="1" applyProtection="0">
      <alignment horizontal="left" vertical="center"/>
    </xf>
    <xf numFmtId="14" fontId="0" fillId="4" borderId="28" applyNumberFormat="1" applyFont="1" applyFill="1" applyBorder="1" applyAlignment="1" applyProtection="0">
      <alignment horizontal="left" vertical="center"/>
    </xf>
    <xf numFmtId="14" fontId="0" fillId="4" borderId="29" applyNumberFormat="1" applyFont="1" applyFill="1" applyBorder="1" applyAlignment="1" applyProtection="0">
      <alignment horizontal="left" vertical="center"/>
    </xf>
    <xf numFmtId="1" fontId="0" fillId="4" borderId="12" applyNumberFormat="1" applyFont="1" applyFill="1" applyBorder="1" applyAlignment="1" applyProtection="0">
      <alignment horizontal="center" vertical="center"/>
    </xf>
    <xf numFmtId="1" fontId="0" fillId="4" borderId="5" applyNumberFormat="1" applyFont="1" applyFill="1" applyBorder="1" applyAlignment="1" applyProtection="0">
      <alignment horizontal="center" vertical="center"/>
    </xf>
    <xf numFmtId="1" fontId="0" fillId="4" borderId="8" applyNumberFormat="1" applyFont="1" applyFill="1" applyBorder="1" applyAlignment="1" applyProtection="0">
      <alignment horizontal="center" vertical="center"/>
    </xf>
    <xf numFmtId="0" fontId="0" fillId="4" borderId="27" applyNumberFormat="0" applyFont="1" applyFill="1" applyBorder="1" applyAlignment="1" applyProtection="0">
      <alignment horizontal="left" vertical="center"/>
    </xf>
    <xf numFmtId="0" fontId="0" fillId="4" borderId="28" applyNumberFormat="0" applyFont="1" applyFill="1" applyBorder="1" applyAlignment="1" applyProtection="0">
      <alignment horizontal="left" vertical="center"/>
    </xf>
    <xf numFmtId="0" fontId="0" fillId="4" borderId="29" applyNumberFormat="0" applyFont="1" applyFill="1" applyBorder="1" applyAlignment="1" applyProtection="0">
      <alignment horizontal="left" vertical="center"/>
    </xf>
    <xf numFmtId="0" fontId="0" fillId="4" borderId="27" applyNumberFormat="0" applyFont="1" applyFill="1" applyBorder="1" applyAlignment="1" applyProtection="0">
      <alignment horizontal="left" vertical="center" wrapText="1"/>
    </xf>
    <xf numFmtId="0" fontId="0" fillId="4" borderId="28" applyNumberFormat="0" applyFont="1" applyFill="1" applyBorder="1" applyAlignment="1" applyProtection="0">
      <alignment horizontal="left" vertical="center" wrapText="1"/>
    </xf>
    <xf numFmtId="0" fontId="0" fillId="4" borderId="29" applyNumberFormat="0" applyFont="1" applyFill="1" applyBorder="1" applyAlignment="1" applyProtection="0">
      <alignment horizontal="left" vertical="center" wrapText="1"/>
    </xf>
    <xf numFmtId="49" fontId="0" fillId="6" borderId="30" applyNumberFormat="1" applyFont="1" applyFill="1" applyBorder="1" applyAlignment="1" applyProtection="0">
      <alignment horizontal="left" vertical="center"/>
    </xf>
    <xf numFmtId="0" fontId="0" fillId="6" borderId="31" applyNumberFormat="0" applyFont="1" applyFill="1" applyBorder="1" applyAlignment="1" applyProtection="0">
      <alignment horizontal="left" vertical="center"/>
    </xf>
    <xf numFmtId="0" fontId="0" fillId="6" borderId="32" applyNumberFormat="0" applyFont="1" applyFill="1" applyBorder="1" applyAlignment="1" applyProtection="0">
      <alignment horizontal="left" vertical="center"/>
    </xf>
    <xf numFmtId="49" fontId="0" fillId="4" borderId="30" applyNumberFormat="1" applyFont="1" applyFill="1" applyBorder="1" applyAlignment="1" applyProtection="0">
      <alignment horizontal="left" vertical="center"/>
    </xf>
    <xf numFmtId="49" fontId="0" fillId="4" borderId="31" applyNumberFormat="1" applyFont="1" applyFill="1" applyBorder="1" applyAlignment="1" applyProtection="0">
      <alignment horizontal="left" vertical="center"/>
    </xf>
    <xf numFmtId="49" fontId="0" fillId="4" borderId="32" applyNumberFormat="1" applyFont="1" applyFill="1" applyBorder="1" applyAlignment="1" applyProtection="0">
      <alignment horizontal="left" vertical="center"/>
    </xf>
    <xf numFmtId="1" fontId="0" fillId="4" borderId="40" applyNumberFormat="1" applyFont="1" applyFill="1" applyBorder="1" applyAlignment="1" applyProtection="0">
      <alignment horizontal="center" vertical="center"/>
    </xf>
    <xf numFmtId="1" fontId="0" fillId="4" borderId="41" applyNumberFormat="1" applyFont="1" applyFill="1" applyBorder="1" applyAlignment="1" applyProtection="0">
      <alignment horizontal="center" vertical="center"/>
    </xf>
    <xf numFmtId="1" fontId="0" fillId="4" borderId="42" applyNumberFormat="1" applyFont="1" applyFill="1" applyBorder="1" applyAlignment="1" applyProtection="0">
      <alignment horizontal="center" vertical="center"/>
    </xf>
    <xf numFmtId="0" fontId="0" fillId="4" borderId="38" applyNumberFormat="0" applyFont="1" applyFill="1" applyBorder="1" applyAlignment="1" applyProtection="0">
      <alignment vertical="center"/>
    </xf>
    <xf numFmtId="49" fontId="0" fillId="6" borderId="17" applyNumberFormat="1" applyFont="1" applyFill="1" applyBorder="1" applyAlignment="1" applyProtection="0">
      <alignment horizontal="left" vertical="center"/>
    </xf>
    <xf numFmtId="49" fontId="0" fillId="4" borderId="26" applyNumberFormat="1" applyFont="1" applyFill="1" applyBorder="1" applyAlignment="1" applyProtection="0">
      <alignment vertical="center"/>
    </xf>
    <xf numFmtId="1" fontId="0" fillId="6" borderId="43" applyNumberFormat="1" applyFont="1" applyFill="1" applyBorder="1" applyAlignment="1" applyProtection="0">
      <alignment vertical="center" wrapText="1"/>
    </xf>
    <xf numFmtId="0" fontId="0" fillId="4" borderId="44" applyNumberFormat="0" applyFont="1" applyFill="1" applyBorder="1" applyAlignment="1" applyProtection="0">
      <alignment vertical="center"/>
    </xf>
    <xf numFmtId="0" fontId="0" fillId="4" borderId="45" applyNumberFormat="0" applyFont="1" applyFill="1" applyBorder="1" applyAlignment="1" applyProtection="0">
      <alignment vertical="center"/>
    </xf>
    <xf numFmtId="0" fontId="0" fillId="4" borderId="46" applyNumberFormat="0" applyFont="1" applyFill="1" applyBorder="1" applyAlignment="1" applyProtection="0">
      <alignment vertical="center"/>
    </xf>
    <xf numFmtId="0" fontId="0" fillId="4" borderId="47" applyNumberFormat="0" applyFont="1" applyFill="1" applyBorder="1" applyAlignment="1" applyProtection="0">
      <alignment vertical="center"/>
    </xf>
    <xf numFmtId="0" fontId="0" applyNumberFormat="1" applyFont="1" applyFill="0" applyBorder="0" applyAlignment="1" applyProtection="0">
      <alignment vertical="bottom"/>
    </xf>
    <xf numFmtId="0" fontId="15" fillId="4" borderId="5" applyNumberFormat="0" applyFont="1" applyFill="1" applyBorder="1" applyAlignment="1" applyProtection="0">
      <alignment vertical="center"/>
    </xf>
    <xf numFmtId="0" fontId="6" fillId="4" borderId="5" applyNumberFormat="0" applyFont="1" applyFill="1" applyBorder="1" applyAlignment="1" applyProtection="0">
      <alignment vertical="center"/>
    </xf>
    <xf numFmtId="49" fontId="16" fillId="9" borderId="27" applyNumberFormat="1" applyFont="1" applyFill="1" applyBorder="1" applyAlignment="1" applyProtection="0">
      <alignment horizontal="center" vertical="center"/>
    </xf>
    <xf numFmtId="0" fontId="16" fillId="9" borderId="28" applyNumberFormat="0" applyFont="1" applyFill="1" applyBorder="1" applyAlignment="1" applyProtection="0">
      <alignment horizontal="center" vertical="center"/>
    </xf>
    <xf numFmtId="0" fontId="0" fillId="4" borderId="28" applyNumberFormat="0" applyFont="1" applyFill="1" applyBorder="1" applyAlignment="1" applyProtection="0">
      <alignment vertical="center"/>
    </xf>
    <xf numFmtId="49" fontId="0" fillId="5" borderId="27" applyNumberFormat="1" applyFont="1" applyFill="1" applyBorder="1" applyAlignment="1" applyProtection="0">
      <alignment horizontal="left" vertical="center"/>
    </xf>
    <xf numFmtId="0" fontId="0" fillId="5" borderId="28" applyNumberFormat="0" applyFont="1" applyFill="1" applyBorder="1" applyAlignment="1" applyProtection="0">
      <alignment horizontal="left" vertical="center"/>
    </xf>
    <xf numFmtId="0" fontId="0" fillId="5" borderId="29" applyNumberFormat="0" applyFont="1" applyFill="1" applyBorder="1" applyAlignment="1" applyProtection="0">
      <alignment horizontal="left" vertical="center"/>
    </xf>
    <xf numFmtId="49" fontId="9" fillId="6" borderId="27" applyNumberFormat="1" applyFont="1" applyFill="1" applyBorder="1" applyAlignment="1" applyProtection="0">
      <alignment horizontal="center" vertical="center" wrapText="1"/>
    </xf>
    <xf numFmtId="0" fontId="9" fillId="6" borderId="29" applyNumberFormat="0" applyFont="1" applyFill="1" applyBorder="1" applyAlignment="1" applyProtection="0">
      <alignment horizontal="center" vertical="center" wrapText="1"/>
    </xf>
    <xf numFmtId="49" fontId="9" fillId="9" borderId="27" applyNumberFormat="1" applyFont="1" applyFill="1" applyBorder="1" applyAlignment="1" applyProtection="0">
      <alignment horizontal="center" vertical="center" wrapText="1"/>
    </xf>
    <xf numFmtId="0" fontId="9" fillId="9" borderId="29" applyNumberFormat="0" applyFont="1" applyFill="1" applyBorder="1" applyAlignment="1" applyProtection="0">
      <alignment horizontal="center" vertical="center" wrapText="1"/>
    </xf>
    <xf numFmtId="49" fontId="9" fillId="10" borderId="27" applyNumberFormat="1" applyFont="1" applyFill="1" applyBorder="1" applyAlignment="1" applyProtection="0">
      <alignment horizontal="center" vertical="center" wrapText="1"/>
    </xf>
    <xf numFmtId="0" fontId="9" fillId="10" borderId="29" applyNumberFormat="0" applyFont="1" applyFill="1" applyBorder="1" applyAlignment="1" applyProtection="0">
      <alignment horizontal="center" vertical="center" wrapText="1"/>
    </xf>
    <xf numFmtId="49" fontId="9" fillId="11" borderId="27" applyNumberFormat="1" applyFont="1" applyFill="1" applyBorder="1" applyAlignment="1" applyProtection="0">
      <alignment horizontal="center" vertical="center" wrapText="1"/>
    </xf>
    <xf numFmtId="0" fontId="9" fillId="11" borderId="29" applyNumberFormat="0" applyFont="1" applyFill="1" applyBorder="1" applyAlignment="1" applyProtection="0">
      <alignment horizontal="center" vertical="center" wrapText="1"/>
    </xf>
    <xf numFmtId="49" fontId="9" fillId="5" borderId="27" applyNumberFormat="1" applyFont="1" applyFill="1" applyBorder="1" applyAlignment="1" applyProtection="0">
      <alignment horizontal="center" vertical="center"/>
    </xf>
    <xf numFmtId="0" fontId="9" fillId="5" borderId="28" applyNumberFormat="0" applyFont="1" applyFill="1" applyBorder="1" applyAlignment="1" applyProtection="0">
      <alignment horizontal="center" vertical="center"/>
    </xf>
    <xf numFmtId="0" fontId="0" fillId="4" borderId="8" applyNumberFormat="1" applyFont="1" applyFill="1" applyBorder="1" applyAlignment="1" applyProtection="0">
      <alignment vertical="center"/>
    </xf>
    <xf numFmtId="49" fontId="0" fillId="7" borderId="27" applyNumberFormat="1" applyFont="1" applyFill="1" applyBorder="1" applyAlignment="1" applyProtection="0">
      <alignment horizontal="left" vertical="center"/>
    </xf>
    <xf numFmtId="49" fontId="0" fillId="7" borderId="28" applyNumberFormat="1" applyFont="1" applyFill="1" applyBorder="1" applyAlignment="1" applyProtection="0">
      <alignment horizontal="left" vertical="center" wrapText="1"/>
    </xf>
    <xf numFmtId="0" fontId="0" fillId="7" borderId="28" applyNumberFormat="0" applyFont="1" applyFill="1" applyBorder="1" applyAlignment="1" applyProtection="0">
      <alignment horizontal="left" vertical="center" wrapText="1"/>
    </xf>
    <xf numFmtId="0" fontId="0" fillId="7" borderId="29" applyNumberFormat="0" applyFont="1" applyFill="1" applyBorder="1" applyAlignment="1" applyProtection="0">
      <alignment horizontal="left" vertical="center" wrapText="1"/>
    </xf>
    <xf numFmtId="0" fontId="0" fillId="4" borderId="27" applyNumberFormat="0" applyFont="1" applyFill="1" applyBorder="1" applyAlignment="1" applyProtection="0">
      <alignment horizontal="center" vertical="center"/>
    </xf>
    <xf numFmtId="0" fontId="0" fillId="4" borderId="29" applyNumberFormat="0" applyFont="1" applyFill="1" applyBorder="1" applyAlignment="1" applyProtection="0">
      <alignment horizontal="center" vertical="center"/>
    </xf>
    <xf numFmtId="0" fontId="4" fillId="4" borderId="27" applyNumberFormat="1" applyFont="1" applyFill="1" applyBorder="1" applyAlignment="1" applyProtection="0">
      <alignment horizontal="center" vertical="center"/>
    </xf>
    <xf numFmtId="0" fontId="4" fillId="4" borderId="28" applyNumberFormat="0" applyFont="1" applyFill="1" applyBorder="1" applyAlignment="1" applyProtection="0">
      <alignment horizontal="center" vertical="center"/>
    </xf>
    <xf numFmtId="0" fontId="0" fillId="4" borderId="48" applyNumberFormat="0" applyFont="1" applyFill="1" applyBorder="1" applyAlignment="1" applyProtection="0">
      <alignment horizontal="center" vertical="center"/>
    </xf>
    <xf numFmtId="0" fontId="0" fillId="4" borderId="49" applyNumberFormat="0" applyFont="1" applyFill="1" applyBorder="1" applyAlignment="1" applyProtection="0">
      <alignment horizontal="center" vertical="center"/>
    </xf>
    <xf numFmtId="0" fontId="0" fillId="4" borderId="50" applyNumberFormat="0" applyFont="1" applyFill="1" applyBorder="1" applyAlignment="1" applyProtection="0">
      <alignment vertical="center"/>
    </xf>
    <xf numFmtId="49" fontId="4" fillId="4" borderId="5" applyNumberFormat="1" applyFont="1" applyFill="1" applyBorder="1" applyAlignment="1" applyProtection="0">
      <alignment horizontal="right" vertical="center"/>
    </xf>
    <xf numFmtId="0" fontId="4" fillId="4" borderId="8" applyNumberFormat="0" applyFont="1" applyFill="1" applyBorder="1" applyAlignment="1" applyProtection="0">
      <alignment horizontal="right" vertical="center"/>
    </xf>
    <xf numFmtId="0" fontId="4" fillId="6" borderId="27" applyNumberFormat="1" applyFont="1" applyFill="1" applyBorder="1" applyAlignment="1" applyProtection="0">
      <alignment horizontal="center" vertical="center"/>
    </xf>
    <xf numFmtId="0" fontId="4" fillId="6" borderId="29" applyNumberFormat="0" applyFont="1" applyFill="1" applyBorder="1" applyAlignment="1" applyProtection="0">
      <alignment horizontal="center" vertical="center"/>
    </xf>
    <xf numFmtId="0" fontId="4" fillId="4" borderId="5" applyNumberFormat="0" applyFont="1" applyFill="1" applyBorder="1" applyAlignment="1" applyProtection="0">
      <alignment horizontal="right" vertical="center"/>
    </xf>
    <xf numFmtId="0" fontId="4" fillId="6" borderId="28" applyNumberFormat="0" applyFont="1" applyFill="1" applyBorder="1" applyAlignment="1" applyProtection="0">
      <alignment horizontal="center" vertical="center"/>
    </xf>
    <xf numFmtId="49" fontId="16" fillId="9" borderId="51" applyNumberFormat="1" applyFont="1" applyFill="1" applyBorder="1" applyAlignment="1" applyProtection="0">
      <alignment horizontal="center" vertical="center"/>
    </xf>
    <xf numFmtId="0" fontId="16" fillId="9" borderId="51" applyNumberFormat="0" applyFont="1" applyFill="1" applyBorder="1" applyAlignment="1" applyProtection="0">
      <alignment horizontal="center" vertical="center"/>
    </xf>
    <xf numFmtId="0" fontId="16" fillId="9" borderId="27" applyNumberFormat="0" applyFont="1" applyFill="1" applyBorder="1" applyAlignment="1" applyProtection="0">
      <alignment horizontal="center" vertical="center"/>
    </xf>
    <xf numFmtId="49" fontId="4" fillId="4" borderId="8" applyNumberFormat="1" applyFont="1" applyFill="1" applyBorder="1" applyAlignment="1" applyProtection="0">
      <alignment horizontal="right" vertical="center"/>
    </xf>
    <xf numFmtId="49" fontId="4" fillId="4" borderId="51" applyNumberFormat="1" applyFont="1" applyFill="1" applyBorder="1" applyAlignment="1" applyProtection="0">
      <alignment horizontal="center" vertical="center"/>
    </xf>
    <xf numFmtId="0" fontId="4" fillId="4" borderId="51" applyNumberFormat="0" applyFont="1" applyFill="1" applyBorder="1" applyAlignment="1" applyProtection="0">
      <alignment horizontal="center" vertical="center"/>
    </xf>
    <xf numFmtId="49" fontId="4" fillId="4" borderId="27" applyNumberFormat="1" applyFont="1" applyFill="1" applyBorder="1" applyAlignment="1" applyProtection="0">
      <alignment horizontal="center" vertical="center"/>
    </xf>
    <xf numFmtId="0" fontId="4" fillId="4" borderId="29" applyNumberFormat="0" applyFont="1" applyFill="1" applyBorder="1" applyAlignment="1" applyProtection="0">
      <alignment horizontal="center" vertical="center"/>
    </xf>
    <xf numFmtId="0" fontId="4" fillId="4" borderId="51" applyNumberFormat="1" applyFont="1" applyFill="1" applyBorder="1" applyAlignment="1" applyProtection="0">
      <alignment horizontal="center" vertical="center"/>
    </xf>
    <xf numFmtId="0" fontId="0" fillId="4" borderId="52" applyNumberFormat="0" applyFont="1" applyFill="1" applyBorder="1" applyAlignment="1" applyProtection="0">
      <alignment vertical="center"/>
    </xf>
    <xf numFmtId="0" fontId="0" applyNumberFormat="1" applyFont="1" applyFill="0" applyBorder="0" applyAlignment="1" applyProtection="0">
      <alignment vertical="bottom"/>
    </xf>
    <xf numFmtId="0" fontId="18" fillId="4" borderId="5" applyNumberFormat="0" applyFont="1" applyFill="1" applyBorder="1" applyAlignment="1" applyProtection="0">
      <alignment horizontal="left" vertical="center"/>
    </xf>
    <xf numFmtId="0" fontId="4" fillId="4" borderId="27" applyNumberFormat="0" applyFont="1" applyFill="1" applyBorder="1" applyAlignment="1" applyProtection="0">
      <alignment horizontal="center" vertical="center"/>
    </xf>
    <xf numFmtId="49" fontId="4" fillId="4" borderId="53" applyNumberFormat="1" applyFont="1" applyFill="1" applyBorder="1" applyAlignment="1" applyProtection="0">
      <alignment horizontal="right" vertical="center"/>
    </xf>
    <xf numFmtId="0" fontId="0" applyNumberFormat="1" applyFont="1" applyFill="0" applyBorder="0" applyAlignment="1" applyProtection="0">
      <alignment vertical="bottom"/>
    </xf>
    <xf numFmtId="0" fontId="15" fillId="4" borderId="12" applyNumberFormat="0" applyFont="1" applyFill="1" applyBorder="1" applyAlignment="1" applyProtection="0">
      <alignment vertical="center"/>
    </xf>
    <xf numFmtId="0" fontId="6" fillId="4" borderId="12" applyNumberFormat="0" applyFont="1" applyFill="1" applyBorder="1" applyAlignment="1" applyProtection="0">
      <alignment vertical="center"/>
    </xf>
    <xf numFmtId="0" fontId="16" fillId="9" borderId="29" applyNumberFormat="0" applyFont="1" applyFill="1" applyBorder="1" applyAlignment="1" applyProtection="0">
      <alignment horizontal="center" vertical="center"/>
    </xf>
    <xf numFmtId="0" fontId="9" fillId="5" borderId="29" applyNumberFormat="0" applyFont="1" applyFill="1" applyBorder="1" applyAlignment="1" applyProtection="0">
      <alignment horizontal="center" vertical="center"/>
    </xf>
    <xf numFmtId="0" fontId="0" fillId="4" borderId="12" applyNumberFormat="1" applyFont="1" applyFill="1" applyBorder="1" applyAlignment="1" applyProtection="0">
      <alignment vertical="center"/>
    </xf>
    <xf numFmtId="49" fontId="16" fillId="12" borderId="51" applyNumberFormat="1" applyFont="1" applyFill="1" applyBorder="1" applyAlignment="1" applyProtection="0">
      <alignment horizontal="center" vertical="center"/>
    </xf>
    <xf numFmtId="0" fontId="16" fillId="12" borderId="51" applyNumberFormat="0" applyFont="1" applyFill="1" applyBorder="1" applyAlignment="1" applyProtection="0">
      <alignment horizontal="center" vertical="center"/>
    </xf>
    <xf numFmtId="0" fontId="0" fillId="4" borderId="54" applyNumberFormat="0" applyFont="1" applyFill="1" applyBorder="1" applyAlignment="1" applyProtection="0">
      <alignment vertical="center"/>
    </xf>
    <xf numFmtId="0" fontId="0" applyNumberFormat="1" applyFont="1" applyFill="0" applyBorder="0" applyAlignment="1" applyProtection="0">
      <alignment vertical="bottom"/>
    </xf>
    <xf numFmtId="0" fontId="16" fillId="12" borderId="27" applyNumberFormat="0" applyFont="1" applyFill="1" applyBorder="1" applyAlignment="1" applyProtection="0">
      <alignment horizontal="center" vertical="center"/>
    </xf>
    <xf numFmtId="49" fontId="4" fillId="10" borderId="17" applyNumberFormat="1" applyFont="1" applyFill="1" applyBorder="1" applyAlignment="1" applyProtection="0">
      <alignment horizontal="left" vertical="center"/>
    </xf>
    <xf numFmtId="0" fontId="4" fillId="10" borderId="18" applyNumberFormat="0" applyFont="1" applyFill="1" applyBorder="1" applyAlignment="1" applyProtection="0">
      <alignment horizontal="left" vertical="center"/>
    </xf>
    <xf numFmtId="49" fontId="0" fillId="6" borderId="5" applyNumberFormat="1" applyFont="1" applyFill="1" applyBorder="1" applyAlignment="1" applyProtection="0">
      <alignment horizontal="left" vertical="center" wrapText="1"/>
    </xf>
    <xf numFmtId="0" fontId="0" fillId="6" borderId="5" applyNumberFormat="0" applyFont="1" applyFill="1" applyBorder="1" applyAlignment="1" applyProtection="0">
      <alignment horizontal="left" vertical="center" wrapText="1"/>
    </xf>
    <xf numFmtId="0" fontId="0" applyNumberFormat="1" applyFont="1" applyFill="0" applyBorder="0" applyAlignment="1" applyProtection="0">
      <alignment vertical="bottom"/>
    </xf>
    <xf numFmtId="49" fontId="16" fillId="9" borderId="27" applyNumberFormat="1" applyFont="1" applyFill="1" applyBorder="1" applyAlignment="1" applyProtection="0">
      <alignment horizontal="center" vertical="center" wrapText="1"/>
    </xf>
    <xf numFmtId="0" fontId="16" fillId="9" borderId="28" applyNumberFormat="0" applyFont="1" applyFill="1" applyBorder="1" applyAlignment="1" applyProtection="0">
      <alignment horizontal="center" vertical="center" wrapText="1"/>
    </xf>
    <xf numFmtId="49" fontId="0" fillId="5" borderId="9" applyNumberFormat="1" applyFont="1" applyFill="1" applyBorder="1" applyAlignment="1" applyProtection="0">
      <alignment horizontal="left" vertical="center"/>
    </xf>
    <xf numFmtId="0" fontId="0" fillId="5" borderId="10" applyNumberFormat="0" applyFont="1" applyFill="1" applyBorder="1" applyAlignment="1" applyProtection="0">
      <alignment horizontal="left" vertical="center"/>
    </xf>
    <xf numFmtId="0" fontId="0" fillId="5" borderId="11" applyNumberFormat="0" applyFont="1" applyFill="1" applyBorder="1" applyAlignment="1" applyProtection="0">
      <alignment horizontal="left" vertical="center"/>
    </xf>
    <xf numFmtId="49" fontId="9" fillId="10" borderId="9" applyNumberFormat="1" applyFont="1" applyFill="1" applyBorder="1" applyAlignment="1" applyProtection="0">
      <alignment horizontal="center" vertical="center" wrapText="1"/>
    </xf>
    <xf numFmtId="59" fontId="9" fillId="10" borderId="11" applyNumberFormat="1" applyFont="1" applyFill="1" applyBorder="1" applyAlignment="1" applyProtection="0">
      <alignment horizontal="center" vertical="center" wrapText="1"/>
    </xf>
    <xf numFmtId="0" fontId="9" fillId="10" borderId="11" applyNumberFormat="0" applyFont="1" applyFill="1" applyBorder="1" applyAlignment="1" applyProtection="0">
      <alignment horizontal="center" vertical="center" wrapText="1"/>
    </xf>
    <xf numFmtId="0" fontId="9" fillId="11" borderId="28" applyNumberFormat="0" applyFont="1" applyFill="1" applyBorder="1" applyAlignment="1" applyProtection="0">
      <alignment horizontal="center" vertical="center" wrapText="1"/>
    </xf>
    <xf numFmtId="0" fontId="0" fillId="5" borderId="13" applyNumberFormat="0" applyFont="1" applyFill="1" applyBorder="1" applyAlignment="1" applyProtection="0">
      <alignment horizontal="left" vertical="center"/>
    </xf>
    <xf numFmtId="0" fontId="0" fillId="5" borderId="7" applyNumberFormat="0" applyFont="1" applyFill="1" applyBorder="1" applyAlignment="1" applyProtection="0">
      <alignment horizontal="left" vertical="center"/>
    </xf>
    <xf numFmtId="0" fontId="0" fillId="5" borderId="14" applyNumberFormat="0" applyFont="1" applyFill="1" applyBorder="1" applyAlignment="1" applyProtection="0">
      <alignment horizontal="left" vertical="center"/>
    </xf>
    <xf numFmtId="59" fontId="9" fillId="10" borderId="13" applyNumberFormat="1" applyFont="1" applyFill="1" applyBorder="1" applyAlignment="1" applyProtection="0">
      <alignment horizontal="center" vertical="center" wrapText="1"/>
    </xf>
    <xf numFmtId="59" fontId="9" fillId="10" borderId="14" applyNumberFormat="1" applyFont="1" applyFill="1" applyBorder="1" applyAlignment="1" applyProtection="0">
      <alignment horizontal="center" vertical="center" wrapText="1"/>
    </xf>
    <xf numFmtId="0" fontId="9" fillId="10" borderId="13" applyNumberFormat="0" applyFont="1" applyFill="1" applyBorder="1" applyAlignment="1" applyProtection="0">
      <alignment horizontal="center" vertical="center" wrapText="1"/>
    </xf>
    <xf numFmtId="0" fontId="9" fillId="10" borderId="14" applyNumberFormat="0" applyFont="1" applyFill="1" applyBorder="1" applyAlignment="1" applyProtection="0">
      <alignment horizontal="center" vertical="center" wrapText="1"/>
    </xf>
    <xf numFmtId="49" fontId="9" fillId="11" borderId="27" applyNumberFormat="1" applyFont="1" applyFill="1" applyBorder="1" applyAlignment="1" applyProtection="0">
      <alignment horizontal="center" vertical="center"/>
    </xf>
    <xf numFmtId="0" fontId="9" fillId="11" borderId="28" applyNumberFormat="0" applyFont="1" applyFill="1" applyBorder="1" applyAlignment="1" applyProtection="0">
      <alignment horizontal="center" vertical="center"/>
    </xf>
    <xf numFmtId="0" fontId="0" fillId="6" borderId="27" applyNumberFormat="0" applyFont="1" applyFill="1" applyBorder="1" applyAlignment="1" applyProtection="0">
      <alignment horizontal="center" vertical="center"/>
    </xf>
    <xf numFmtId="0" fontId="0" fillId="6" borderId="29" applyNumberFormat="0" applyFont="1" applyFill="1" applyBorder="1" applyAlignment="1" applyProtection="0">
      <alignment horizontal="center" vertical="center"/>
    </xf>
    <xf numFmtId="1" fontId="0" fillId="4" borderId="27" applyNumberFormat="1" applyFont="1" applyFill="1" applyBorder="1" applyAlignment="1" applyProtection="0">
      <alignment horizontal="center" vertical="center"/>
    </xf>
    <xf numFmtId="1" fontId="0" fillId="4" borderId="29" applyNumberFormat="1" applyFont="1" applyFill="1" applyBorder="1" applyAlignment="1" applyProtection="0">
      <alignment horizontal="center" vertical="center"/>
    </xf>
    <xf numFmtId="1" fontId="0" fillId="4" borderId="28" applyNumberFormat="1" applyFont="1" applyFill="1" applyBorder="1" applyAlignment="1" applyProtection="0">
      <alignment horizontal="center" vertical="center"/>
    </xf>
    <xf numFmtId="60" fontId="4" fillId="6" borderId="27" applyNumberFormat="1" applyFont="1" applyFill="1" applyBorder="1" applyAlignment="1" applyProtection="0">
      <alignment horizontal="center" vertical="center"/>
    </xf>
    <xf numFmtId="60" fontId="4" fillId="6" borderId="29" applyNumberFormat="1" applyFont="1" applyFill="1" applyBorder="1" applyAlignment="1" applyProtection="0">
      <alignment horizontal="center" vertical="center"/>
    </xf>
    <xf numFmtId="1" fontId="4" fillId="6" borderId="27" applyNumberFormat="1" applyFont="1" applyFill="1" applyBorder="1" applyAlignment="1" applyProtection="0">
      <alignment horizontal="center" vertical="center"/>
    </xf>
    <xf numFmtId="1" fontId="4" fillId="6" borderId="28" applyNumberFormat="1" applyFont="1" applyFill="1" applyBorder="1" applyAlignment="1" applyProtection="0">
      <alignment horizontal="center" vertical="center"/>
    </xf>
    <xf numFmtId="0" fontId="0" fillId="5" borderId="9" applyNumberFormat="0" applyFont="1" applyFill="1" applyBorder="1" applyAlignment="1" applyProtection="0">
      <alignment horizontal="center" vertical="center"/>
    </xf>
    <xf numFmtId="0" fontId="0" fillId="5" borderId="11" applyNumberFormat="0" applyFont="1" applyFill="1" applyBorder="1" applyAlignment="1" applyProtection="0">
      <alignment horizontal="center" vertical="center"/>
    </xf>
    <xf numFmtId="0" fontId="0" fillId="5" borderId="12" applyNumberFormat="0" applyFont="1" applyFill="1" applyBorder="1" applyAlignment="1" applyProtection="0">
      <alignment horizontal="center" vertical="center"/>
    </xf>
    <xf numFmtId="0" fontId="0" fillId="5" borderId="8" applyNumberFormat="0" applyFont="1" applyFill="1" applyBorder="1" applyAlignment="1" applyProtection="0">
      <alignment horizontal="center" vertical="center"/>
    </xf>
    <xf numFmtId="0" fontId="0" fillId="5" borderId="13" applyNumberFormat="0" applyFont="1" applyFill="1" applyBorder="1" applyAlignment="1" applyProtection="0">
      <alignment horizontal="center" vertical="center"/>
    </xf>
    <xf numFmtId="0" fontId="0" fillId="5" borderId="14" applyNumberFormat="0" applyFont="1" applyFill="1" applyBorder="1" applyAlignment="1" applyProtection="0">
      <alignment horizontal="center" vertical="center"/>
    </xf>
    <xf numFmtId="0" fontId="0" fillId="4" borderId="28" applyNumberFormat="0" applyFont="1" applyFill="1" applyBorder="1" applyAlignment="1" applyProtection="0">
      <alignment horizontal="center" vertical="center"/>
    </xf>
    <xf numFmtId="0" fontId="0" fillId="4" borderId="5" applyNumberFormat="0" applyFont="1" applyFill="1" applyBorder="1" applyAlignment="1" applyProtection="0">
      <alignment horizontal="center" vertical="center"/>
    </xf>
    <xf numFmtId="0" fontId="0" fillId="4" borderId="10" applyNumberFormat="0" applyFont="1" applyFill="1" applyBorder="1" applyAlignment="1" applyProtection="0">
      <alignment horizontal="center" vertical="center"/>
    </xf>
    <xf numFmtId="0" fontId="0" fillId="4" borderId="11" applyNumberFormat="0" applyFont="1" applyFill="1" applyBorder="1" applyAlignment="1" applyProtection="0">
      <alignment horizontal="center" vertical="center"/>
    </xf>
    <xf numFmtId="49" fontId="19" fillId="5" borderId="27" applyNumberFormat="1" applyFont="1" applyFill="1" applyBorder="1" applyAlignment="1" applyProtection="0">
      <alignment horizontal="center" vertical="center" wrapText="1"/>
    </xf>
    <xf numFmtId="0" fontId="19" fillId="5" borderId="29" applyNumberFormat="0" applyFont="1" applyFill="1" applyBorder="1" applyAlignment="1" applyProtection="0">
      <alignment horizontal="center" vertical="center" wrapText="1"/>
    </xf>
    <xf numFmtId="1" fontId="4" fillId="6" borderId="29" applyNumberFormat="1" applyFont="1" applyFill="1" applyBorder="1" applyAlignment="1" applyProtection="0">
      <alignment horizontal="center" vertical="center"/>
    </xf>
    <xf numFmtId="49" fontId="4" fillId="4" borderId="12" applyNumberFormat="1" applyFont="1" applyFill="1" applyBorder="1" applyAlignment="1" applyProtection="0">
      <alignment horizontal="center" vertical="center"/>
    </xf>
    <xf numFmtId="0" fontId="4" fillId="4" borderId="5" applyNumberFormat="0" applyFont="1" applyFill="1" applyBorder="1" applyAlignment="1" applyProtection="0">
      <alignment horizontal="center" vertical="center"/>
    </xf>
    <xf numFmtId="0" fontId="4" fillId="4" borderId="8"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18" fillId="4" borderId="55" applyNumberFormat="1" applyFont="1" applyFill="1" applyBorder="1" applyAlignment="1" applyProtection="0">
      <alignment vertical="center"/>
    </xf>
    <xf numFmtId="0" fontId="0" fillId="4" borderId="55" applyNumberFormat="1" applyFont="1" applyFill="1" applyBorder="1" applyAlignment="1" applyProtection="0">
      <alignment vertical="center"/>
    </xf>
    <xf numFmtId="0" fontId="0" borderId="55" applyNumberFormat="1" applyFont="1" applyFill="0" applyBorder="1" applyAlignment="1" applyProtection="0">
      <alignment vertical="bottom"/>
    </xf>
    <xf numFmtId="0" fontId="20" fillId="4" borderId="55" applyNumberFormat="1" applyFont="1" applyFill="1" applyBorder="1" applyAlignment="1" applyProtection="0">
      <alignment vertical="center"/>
    </xf>
    <xf numFmtId="0" fontId="9" fillId="4" borderId="55" applyNumberFormat="1" applyFont="1" applyFill="1" applyBorder="1" applyAlignment="1" applyProtection="0">
      <alignment vertical="center"/>
    </xf>
    <xf numFmtId="0" fontId="21" fillId="4" borderId="55" applyNumberFormat="1" applyFont="1" applyFill="1" applyBorder="1" applyAlignment="1" applyProtection="0">
      <alignment vertical="center"/>
    </xf>
    <xf numFmtId="0" fontId="18" fillId="4" borderId="5" applyNumberFormat="0" applyFont="1" applyFill="1" applyBorder="1" applyAlignment="1" applyProtection="0">
      <alignment vertical="center"/>
    </xf>
    <xf numFmtId="49" fontId="4" fillId="10" borderId="27" applyNumberFormat="1" applyFont="1" applyFill="1" applyBorder="1" applyAlignment="1" applyProtection="0">
      <alignment horizontal="left" vertical="center"/>
    </xf>
    <xf numFmtId="0" fontId="4" fillId="10" borderId="28" applyNumberFormat="0" applyFont="1" applyFill="1" applyBorder="1" applyAlignment="1" applyProtection="0">
      <alignment horizontal="left" vertical="center"/>
    </xf>
    <xf numFmtId="49" fontId="4" fillId="10" borderId="28" applyNumberFormat="1" applyFont="1" applyFill="1" applyBorder="1" applyAlignment="1" applyProtection="0">
      <alignment horizontal="left" vertical="center" wrapText="1"/>
    </xf>
    <xf numFmtId="0" fontId="4" fillId="10" borderId="28" applyNumberFormat="0" applyFont="1" applyFill="1" applyBorder="1" applyAlignment="1" applyProtection="0">
      <alignment horizontal="left" vertical="center" wrapText="1"/>
    </xf>
    <xf numFmtId="0" fontId="4" fillId="10" borderId="29" applyNumberFormat="0" applyFont="1" applyFill="1" applyBorder="1" applyAlignment="1" applyProtection="0">
      <alignment horizontal="left" vertical="center" wrapText="1"/>
    </xf>
    <xf numFmtId="49" fontId="4" fillId="10" borderId="27" applyNumberFormat="1" applyFont="1" applyFill="1" applyBorder="1" applyAlignment="1" applyProtection="0">
      <alignment horizontal="center" vertical="center"/>
    </xf>
    <xf numFmtId="0" fontId="4" fillId="10" borderId="28" applyNumberFormat="0" applyFont="1" applyFill="1" applyBorder="1" applyAlignment="1" applyProtection="0">
      <alignment horizontal="center" vertical="center"/>
    </xf>
    <xf numFmtId="0" fontId="4" fillId="10" borderId="29" applyNumberFormat="0" applyFont="1" applyFill="1" applyBorder="1" applyAlignment="1" applyProtection="0">
      <alignment horizontal="center" vertical="center"/>
    </xf>
    <xf numFmtId="49" fontId="4" fillId="6" borderId="27" applyNumberFormat="1" applyFont="1" applyFill="1" applyBorder="1" applyAlignment="1" applyProtection="0">
      <alignment horizontal="left" vertical="center"/>
    </xf>
    <xf numFmtId="0" fontId="4" fillId="6" borderId="28" applyNumberFormat="0" applyFont="1" applyFill="1" applyBorder="1" applyAlignment="1" applyProtection="0">
      <alignment horizontal="left" vertical="center"/>
    </xf>
    <xf numFmtId="49" fontId="4" fillId="6" borderId="28" applyNumberFormat="1" applyFont="1" applyFill="1" applyBorder="1" applyAlignment="1" applyProtection="0">
      <alignment horizontal="left" vertical="center" wrapText="1"/>
    </xf>
    <xf numFmtId="0" fontId="4" fillId="6" borderId="28" applyNumberFormat="0" applyFont="1" applyFill="1" applyBorder="1" applyAlignment="1" applyProtection="0">
      <alignment horizontal="left" vertical="center" wrapText="1"/>
    </xf>
    <xf numFmtId="0" fontId="4" fillId="6" borderId="29" applyNumberFormat="0" applyFont="1" applyFill="1" applyBorder="1" applyAlignment="1" applyProtection="0">
      <alignment horizontal="left" vertical="center" wrapText="1"/>
    </xf>
    <xf numFmtId="49" fontId="4" fillId="6" borderId="27" applyNumberFormat="1" applyFont="1" applyFill="1" applyBorder="1" applyAlignment="1" applyProtection="0">
      <alignment horizontal="left" vertical="center" wrapText="1"/>
    </xf>
    <xf numFmtId="49" fontId="4" fillId="6" borderId="27" applyNumberFormat="1" applyFont="1" applyFill="1" applyBorder="1" applyAlignment="1" applyProtection="0">
      <alignment horizontal="center" vertical="center"/>
    </xf>
    <xf numFmtId="49" fontId="4" fillId="10" borderId="27" applyNumberFormat="1" applyFont="1" applyFill="1" applyBorder="1" applyAlignment="1" applyProtection="0">
      <alignment horizontal="left" vertical="center" wrapText="1"/>
    </xf>
    <xf numFmtId="0" fontId="18" fillId="4" borderId="12" applyNumberFormat="0" applyFont="1" applyFill="1" applyBorder="1" applyAlignment="1" applyProtection="0">
      <alignment vertical="center"/>
    </xf>
    <xf numFmtId="0" fontId="18" fillId="4" borderId="6" applyNumberFormat="0" applyFont="1" applyFill="1" applyBorder="1" applyAlignment="1" applyProtection="0">
      <alignment vertical="center"/>
    </xf>
    <xf numFmtId="49" fontId="0" fillId="4" borderId="10" applyNumberFormat="1" applyFont="1" applyFill="1" applyBorder="1" applyAlignment="1" applyProtection="0">
      <alignment horizontal="left" vertical="center"/>
    </xf>
    <xf numFmtId="0" fontId="0" fillId="4" borderId="10" applyNumberFormat="0" applyFont="1" applyFill="1" applyBorder="1" applyAlignment="1" applyProtection="0">
      <alignment horizontal="left" vertical="center"/>
    </xf>
    <xf numFmtId="0" fontId="4" fillId="10" borderId="56" applyNumberFormat="0" applyFont="1" applyFill="1" applyBorder="1" applyAlignment="1" applyProtection="0">
      <alignment horizontal="left" vertical="center"/>
    </xf>
    <xf numFmtId="49" fontId="0" fillId="6" borderId="57" applyNumberFormat="1" applyFont="1" applyFill="1" applyBorder="1" applyAlignment="1" applyProtection="0">
      <alignment horizontal="center" vertical="center" wrapText="1"/>
    </xf>
    <xf numFmtId="0" fontId="0" fillId="6" borderId="10" applyNumberFormat="0" applyFont="1" applyFill="1" applyBorder="1" applyAlignment="1" applyProtection="0">
      <alignment horizontal="center" vertical="center" wrapText="1"/>
    </xf>
    <xf numFmtId="0" fontId="0" fillId="6" borderId="11" applyNumberFormat="0" applyFont="1" applyFill="1" applyBorder="1" applyAlignment="1" applyProtection="0">
      <alignment horizontal="center" vertical="center" wrapText="1"/>
    </xf>
    <xf numFmtId="0" fontId="4" fillId="10" borderId="29" applyNumberFormat="0" applyFont="1" applyFill="1" applyBorder="1" applyAlignment="1" applyProtection="0">
      <alignment horizontal="left" vertical="center"/>
    </xf>
    <xf numFmtId="49" fontId="0" fillId="5" borderId="30" applyNumberFormat="1" applyFont="1" applyFill="1" applyBorder="1" applyAlignment="1" applyProtection="0">
      <alignment horizontal="center" vertical="center"/>
    </xf>
    <xf numFmtId="0" fontId="0" fillId="5" borderId="31" applyNumberFormat="0" applyFont="1" applyFill="1" applyBorder="1" applyAlignment="1" applyProtection="0">
      <alignment horizontal="center" vertical="center"/>
    </xf>
    <xf numFmtId="0" fontId="0" fillId="5" borderId="32" applyNumberFormat="0" applyFont="1" applyFill="1" applyBorder="1" applyAlignment="1" applyProtection="0">
      <alignment horizontal="center" vertical="center"/>
    </xf>
    <xf numFmtId="49" fontId="0" fillId="7" borderId="30" applyNumberFormat="1" applyFont="1" applyFill="1" applyBorder="1" applyAlignment="1" applyProtection="0">
      <alignment horizontal="center" vertical="center" wrapText="1"/>
    </xf>
    <xf numFmtId="49" fontId="0" fillId="7" borderId="32" applyNumberFormat="1" applyFont="1" applyFill="1" applyBorder="1" applyAlignment="1" applyProtection="0">
      <alignment horizontal="center" vertical="center" wrapText="1"/>
    </xf>
    <xf numFmtId="0" fontId="0" fillId="7" borderId="58" applyNumberFormat="0" applyFont="1" applyFill="1" applyBorder="1" applyAlignment="1" applyProtection="0">
      <alignment horizontal="center" vertical="center" wrapText="1"/>
    </xf>
    <xf numFmtId="0" fontId="0" fillId="6" borderId="59" applyNumberFormat="0" applyFont="1" applyFill="1" applyBorder="1" applyAlignment="1" applyProtection="0">
      <alignment horizontal="center" vertical="center" wrapText="1"/>
    </xf>
    <xf numFmtId="0" fontId="0" fillId="6" borderId="41" applyNumberFormat="0" applyFont="1" applyFill="1" applyBorder="1" applyAlignment="1" applyProtection="0">
      <alignment horizontal="center" vertical="center" wrapText="1"/>
    </xf>
    <xf numFmtId="0" fontId="0" fillId="6" borderId="42" applyNumberFormat="0" applyFont="1" applyFill="1" applyBorder="1" applyAlignment="1" applyProtection="0">
      <alignment horizontal="center" vertical="center" wrapText="1"/>
    </xf>
    <xf numFmtId="49" fontId="0" fillId="6" borderId="30" applyNumberFormat="1" applyFont="1" applyFill="1" applyBorder="1" applyAlignment="1" applyProtection="0">
      <alignment horizontal="center" vertical="center" wrapText="1"/>
    </xf>
    <xf numFmtId="0" fontId="0" fillId="6" borderId="31" applyNumberFormat="0" applyFont="1" applyFill="1" applyBorder="1" applyAlignment="1" applyProtection="0">
      <alignment horizontal="center" vertical="center" wrapText="1"/>
    </xf>
    <xf numFmtId="0" fontId="0" fillId="6" borderId="32" applyNumberFormat="0" applyFont="1" applyFill="1" applyBorder="1" applyAlignment="1" applyProtection="0">
      <alignment horizontal="center" vertical="center" wrapText="1"/>
    </xf>
    <xf numFmtId="49" fontId="0" fillId="4" borderId="34" applyNumberFormat="1" applyFont="1" applyFill="1" applyBorder="1" applyAlignment="1" applyProtection="0">
      <alignment horizontal="left" vertical="top" wrapText="1"/>
    </xf>
    <xf numFmtId="0" fontId="0" fillId="4" borderId="35" applyNumberFormat="0" applyFont="1" applyFill="1" applyBorder="1" applyAlignment="1" applyProtection="0">
      <alignment horizontal="left" vertical="top" wrapText="1"/>
    </xf>
    <xf numFmtId="0" fontId="0" fillId="4" borderId="36" applyNumberFormat="0" applyFont="1" applyFill="1" applyBorder="1" applyAlignment="1" applyProtection="0">
      <alignment horizontal="left" vertical="top" wrapText="1"/>
    </xf>
    <xf numFmtId="49" fontId="0" fillId="7" borderId="37" applyNumberFormat="1" applyFont="1" applyFill="1" applyBorder="1" applyAlignment="1" applyProtection="0">
      <alignment horizontal="center" vertical="center"/>
    </xf>
    <xf numFmtId="1" fontId="0" fillId="7" borderId="39" applyNumberFormat="1" applyFont="1" applyFill="1" applyBorder="1" applyAlignment="1" applyProtection="0">
      <alignment horizontal="center" vertical="center"/>
    </xf>
    <xf numFmtId="49" fontId="0" fillId="7" borderId="60" applyNumberFormat="1" applyFont="1" applyFill="1" applyBorder="1" applyAlignment="1" applyProtection="0">
      <alignment horizontal="center" vertical="center"/>
    </xf>
    <xf numFmtId="1" fontId="0" fillId="7" borderId="61" applyNumberFormat="1" applyFont="1" applyFill="1" applyBorder="1" applyAlignment="1" applyProtection="0">
      <alignment horizontal="center" vertical="center"/>
    </xf>
    <xf numFmtId="49" fontId="0" fillId="4" borderId="62" applyNumberFormat="1" applyFont="1" applyFill="1" applyBorder="1" applyAlignment="1" applyProtection="0">
      <alignment horizontal="center" vertical="center"/>
    </xf>
    <xf numFmtId="49" fontId="0" fillId="4" borderId="63" applyNumberFormat="1" applyFont="1" applyFill="1" applyBorder="1" applyAlignment="1" applyProtection="0">
      <alignment horizontal="center" vertical="center"/>
    </xf>
    <xf numFmtId="49" fontId="0" fillId="4" borderId="64" applyNumberFormat="1" applyFont="1" applyFill="1" applyBorder="1" applyAlignment="1" applyProtection="0">
      <alignment horizontal="center" vertical="center"/>
    </xf>
    <xf numFmtId="49" fontId="0" fillId="4" borderId="37" applyNumberFormat="1" applyFont="1" applyFill="1" applyBorder="1" applyAlignment="1" applyProtection="0">
      <alignment horizontal="center" vertical="center"/>
    </xf>
    <xf numFmtId="49" fontId="0" fillId="4" borderId="38" applyNumberFormat="1" applyFont="1" applyFill="1" applyBorder="1" applyAlignment="1" applyProtection="0">
      <alignment horizontal="center" vertical="center"/>
    </xf>
    <xf numFmtId="49" fontId="0" fillId="4" borderId="39" applyNumberFormat="1" applyFont="1" applyFill="1" applyBorder="1" applyAlignment="1" applyProtection="0">
      <alignment horizontal="center" vertical="center"/>
    </xf>
    <xf numFmtId="49" fontId="0" fillId="4" borderId="27" applyNumberFormat="1" applyFont="1" applyFill="1" applyBorder="1" applyAlignment="1" applyProtection="0">
      <alignment horizontal="left" vertical="top"/>
    </xf>
    <xf numFmtId="14" fontId="0" fillId="4" borderId="28" applyNumberFormat="1" applyFont="1" applyFill="1" applyBorder="1" applyAlignment="1" applyProtection="0">
      <alignment horizontal="left" vertical="top"/>
    </xf>
    <xf numFmtId="14" fontId="0" fillId="4" borderId="29" applyNumberFormat="1" applyFont="1" applyFill="1" applyBorder="1" applyAlignment="1" applyProtection="0">
      <alignment horizontal="left" vertical="top"/>
    </xf>
    <xf numFmtId="1" fontId="0" fillId="7" borderId="12" applyNumberFormat="1" applyFont="1" applyFill="1" applyBorder="1" applyAlignment="1" applyProtection="0">
      <alignment horizontal="center" vertical="center"/>
    </xf>
    <xf numFmtId="1" fontId="0" fillId="7" borderId="8" applyNumberFormat="1" applyFont="1" applyFill="1" applyBorder="1" applyAlignment="1" applyProtection="0">
      <alignment horizontal="center" vertical="center"/>
    </xf>
    <xf numFmtId="1" fontId="0" fillId="7" borderId="65" applyNumberFormat="1" applyFont="1" applyFill="1" applyBorder="1" applyAlignment="1" applyProtection="0">
      <alignment horizontal="center" vertical="center"/>
    </xf>
    <xf numFmtId="1" fontId="0" fillId="7" borderId="66" applyNumberFormat="1" applyFont="1" applyFill="1" applyBorder="1" applyAlignment="1" applyProtection="0">
      <alignment horizontal="center" vertical="center"/>
    </xf>
    <xf numFmtId="49" fontId="0" fillId="4" borderId="67" applyNumberFormat="1" applyFont="1" applyFill="1" applyBorder="1" applyAlignment="1" applyProtection="0">
      <alignment horizontal="center" vertical="center"/>
    </xf>
    <xf numFmtId="49" fontId="0" fillId="4" borderId="68" applyNumberFormat="1" applyFont="1" applyFill="1" applyBorder="1" applyAlignment="1" applyProtection="0">
      <alignment horizontal="center" vertical="center"/>
    </xf>
    <xf numFmtId="49" fontId="0" fillId="4" borderId="69" applyNumberFormat="1" applyFont="1" applyFill="1" applyBorder="1" applyAlignment="1" applyProtection="0">
      <alignment horizontal="center" vertical="center"/>
    </xf>
    <xf numFmtId="49" fontId="0" fillId="4" borderId="12" applyNumberFormat="1" applyFont="1" applyFill="1" applyBorder="1" applyAlignment="1" applyProtection="0">
      <alignment horizontal="center" vertical="center"/>
    </xf>
    <xf numFmtId="49" fontId="0" fillId="4" borderId="5" applyNumberFormat="1" applyFont="1" applyFill="1" applyBorder="1" applyAlignment="1" applyProtection="0">
      <alignment horizontal="center" vertical="center"/>
    </xf>
    <xf numFmtId="49" fontId="0" fillId="4" borderId="8" applyNumberFormat="1" applyFont="1" applyFill="1" applyBorder="1" applyAlignment="1" applyProtection="0">
      <alignment horizontal="center" vertical="center"/>
    </xf>
    <xf numFmtId="0" fontId="0" fillId="4" borderId="28" applyNumberFormat="0" applyFont="1" applyFill="1" applyBorder="1" applyAlignment="1" applyProtection="0">
      <alignment horizontal="left" vertical="top"/>
    </xf>
    <xf numFmtId="0" fontId="0" fillId="4" borderId="29" applyNumberFormat="0" applyFont="1" applyFill="1" applyBorder="1" applyAlignment="1" applyProtection="0">
      <alignment horizontal="left" vertical="top"/>
    </xf>
    <xf numFmtId="49" fontId="0" fillId="4" borderId="27" applyNumberFormat="1" applyFont="1" applyFill="1" applyBorder="1" applyAlignment="1" applyProtection="0">
      <alignment horizontal="left" vertical="top" wrapText="1"/>
    </xf>
    <xf numFmtId="0" fontId="0" fillId="4" borderId="28" applyNumberFormat="0" applyFont="1" applyFill="1" applyBorder="1" applyAlignment="1" applyProtection="0">
      <alignment horizontal="left" vertical="top" wrapText="1"/>
    </xf>
    <xf numFmtId="0" fontId="0" fillId="4" borderId="29" applyNumberFormat="0" applyFont="1" applyFill="1" applyBorder="1" applyAlignment="1" applyProtection="0">
      <alignment horizontal="left" vertical="top" wrapText="1"/>
    </xf>
    <xf numFmtId="49" fontId="0" fillId="4" borderId="30" applyNumberFormat="1" applyFont="1" applyFill="1" applyBorder="1" applyAlignment="1" applyProtection="0">
      <alignment horizontal="left" vertical="top"/>
    </xf>
    <xf numFmtId="49" fontId="0" fillId="4" borderId="31" applyNumberFormat="1" applyFont="1" applyFill="1" applyBorder="1" applyAlignment="1" applyProtection="0">
      <alignment horizontal="left" vertical="top"/>
    </xf>
    <xf numFmtId="49" fontId="0" fillId="4" borderId="32" applyNumberFormat="1" applyFont="1" applyFill="1" applyBorder="1" applyAlignment="1" applyProtection="0">
      <alignment horizontal="left" vertical="top"/>
    </xf>
    <xf numFmtId="1" fontId="0" fillId="7" borderId="40" applyNumberFormat="1" applyFont="1" applyFill="1" applyBorder="1" applyAlignment="1" applyProtection="0">
      <alignment horizontal="center" vertical="center"/>
    </xf>
    <xf numFmtId="1" fontId="0" fillId="7" borderId="42" applyNumberFormat="1" applyFont="1" applyFill="1" applyBorder="1" applyAlignment="1" applyProtection="0">
      <alignment horizontal="center" vertical="center"/>
    </xf>
    <xf numFmtId="1" fontId="0" fillId="7" borderId="70" applyNumberFormat="1" applyFont="1" applyFill="1" applyBorder="1" applyAlignment="1" applyProtection="0">
      <alignment horizontal="center" vertical="center"/>
    </xf>
    <xf numFmtId="1" fontId="0" fillId="7" borderId="71" applyNumberFormat="1" applyFont="1" applyFill="1" applyBorder="1" applyAlignment="1" applyProtection="0">
      <alignment horizontal="center" vertical="center"/>
    </xf>
    <xf numFmtId="49" fontId="0" fillId="4" borderId="72" applyNumberFormat="1" applyFont="1" applyFill="1" applyBorder="1" applyAlignment="1" applyProtection="0">
      <alignment horizontal="center" vertical="center"/>
    </xf>
    <xf numFmtId="49" fontId="0" fillId="4" borderId="73" applyNumberFormat="1" applyFont="1" applyFill="1" applyBorder="1" applyAlignment="1" applyProtection="0">
      <alignment horizontal="center" vertical="center"/>
    </xf>
    <xf numFmtId="49" fontId="0" fillId="4" borderId="74" applyNumberFormat="1" applyFont="1" applyFill="1" applyBorder="1" applyAlignment="1" applyProtection="0">
      <alignment horizontal="center" vertical="center"/>
    </xf>
    <xf numFmtId="49" fontId="0" fillId="4" borderId="40" applyNumberFormat="1" applyFont="1" applyFill="1" applyBorder="1" applyAlignment="1" applyProtection="0">
      <alignment horizontal="center" vertical="center"/>
    </xf>
    <xf numFmtId="49" fontId="0" fillId="4" borderId="41" applyNumberFormat="1" applyFont="1" applyFill="1" applyBorder="1" applyAlignment="1" applyProtection="0">
      <alignment horizontal="center" vertical="center"/>
    </xf>
    <xf numFmtId="49" fontId="0" fillId="4" borderId="42"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fillId="7" borderId="17" applyNumberFormat="0" applyFont="1" applyFill="1" applyBorder="1" applyAlignment="1" applyProtection="0">
      <alignment horizontal="left" vertical="center"/>
    </xf>
    <xf numFmtId="0" fontId="0" fillId="7" borderId="18" applyNumberFormat="0" applyFont="1" applyFill="1" applyBorder="1" applyAlignment="1" applyProtection="0">
      <alignment horizontal="left" vertical="center"/>
    </xf>
    <xf numFmtId="0" fontId="0" fillId="7" borderId="19" applyNumberFormat="0" applyFont="1" applyFill="1" applyBorder="1" applyAlignment="1" applyProtection="0">
      <alignment horizontal="left" vertical="center"/>
    </xf>
    <xf numFmtId="0" fontId="0" fillId="6" borderId="25" applyNumberFormat="0" applyFont="1" applyFill="1" applyBorder="1" applyAlignment="1" applyProtection="0">
      <alignment vertical="center"/>
    </xf>
    <xf numFmtId="49" fontId="4" fillId="4" borderId="5" applyNumberFormat="1" applyFont="1" applyFill="1" applyBorder="1" applyAlignment="1" applyProtection="0">
      <alignment horizontal="left" vertical="top" wrapText="1"/>
    </xf>
    <xf numFmtId="0" fontId="4" fillId="4" borderId="5" applyNumberFormat="0" applyFont="1" applyFill="1" applyBorder="1" applyAlignment="1" applyProtection="0">
      <alignment horizontal="left" vertical="top" wrapText="1"/>
    </xf>
    <xf numFmtId="49" fontId="0" fillId="4" borderId="5" applyNumberFormat="1" applyFont="1" applyFill="1" applyBorder="1" applyAlignment="1" applyProtection="0">
      <alignment horizontal="left" vertical="center" wrapText="1"/>
    </xf>
    <xf numFmtId="0" fontId="0" fillId="4" borderId="5" applyNumberFormat="0" applyFont="1" applyFill="1" applyBorder="1" applyAlignment="1" applyProtection="0">
      <alignment horizontal="left" vertical="center" wrapText="1"/>
    </xf>
    <xf numFmtId="0" fontId="18" fillId="4" borderId="4" applyNumberFormat="0" applyFont="1" applyFill="1" applyBorder="1" applyAlignment="1" applyProtection="0">
      <alignment vertical="center"/>
    </xf>
    <xf numFmtId="0" fontId="18" fillId="4" borderId="8" applyNumberFormat="0" applyFont="1" applyFill="1" applyBorder="1" applyAlignment="1" applyProtection="0">
      <alignment vertical="center"/>
    </xf>
    <xf numFmtId="0" fontId="9" fillId="6" borderId="28" applyNumberFormat="0" applyFont="1" applyFill="1" applyBorder="1" applyAlignment="1" applyProtection="0">
      <alignment horizontal="center" vertical="center" wrapText="1"/>
    </xf>
    <xf numFmtId="0" fontId="9" fillId="9" borderId="28" applyNumberFormat="0" applyFont="1" applyFill="1" applyBorder="1" applyAlignment="1" applyProtection="0">
      <alignment horizontal="center" vertical="center" wrapText="1"/>
    </xf>
    <xf numFmtId="0" fontId="9" fillId="10" borderId="28" applyNumberFormat="0" applyFont="1" applyFill="1" applyBorder="1" applyAlignment="1" applyProtection="0">
      <alignment horizontal="center" vertical="center" wrapText="1"/>
    </xf>
    <xf numFmtId="0" fontId="9" fillId="11" borderId="29" applyNumberFormat="0" applyFont="1" applyFill="1" applyBorder="1" applyAlignment="1" applyProtection="0">
      <alignment horizontal="center" vertical="center"/>
    </xf>
    <xf numFmtId="49" fontId="0" fillId="7" borderId="27" applyNumberFormat="1" applyFont="1" applyFill="1" applyBorder="1" applyAlignment="1" applyProtection="0">
      <alignment horizontal="left" vertical="center" wrapText="1"/>
    </xf>
    <xf numFmtId="0" fontId="0" fillId="4" borderId="10" applyNumberFormat="0" applyFont="1" applyFill="1" applyBorder="1" applyAlignment="1" applyProtection="0">
      <alignment vertical="center" wrapText="1"/>
    </xf>
    <xf numFmtId="49" fontId="0" fillId="4" borderId="15" applyNumberFormat="1" applyFont="1" applyFill="1" applyBorder="1" applyAlignment="1" applyProtection="0">
      <alignment horizontal="left" vertical="center" wrapText="1"/>
    </xf>
    <xf numFmtId="0" fontId="0" fillId="4" borderId="15" applyNumberFormat="0" applyFont="1" applyFill="1" applyBorder="1" applyAlignment="1" applyProtection="0">
      <alignment horizontal="left" vertical="center" wrapText="1"/>
    </xf>
    <xf numFmtId="0" fontId="0" fillId="4" borderId="15" applyNumberFormat="0" applyFont="1" applyFill="1" applyBorder="1" applyAlignment="1" applyProtection="0">
      <alignment vertical="center" wrapText="1"/>
    </xf>
    <xf numFmtId="49" fontId="16" fillId="4" borderId="5" applyNumberFormat="1" applyFont="1" applyFill="1" applyBorder="1" applyAlignment="1" applyProtection="0">
      <alignment horizontal="left" vertical="top" wrapText="1"/>
    </xf>
    <xf numFmtId="0" fontId="16" fillId="4" borderId="5" applyNumberFormat="0" applyFont="1" applyFill="1" applyBorder="1" applyAlignment="1" applyProtection="0">
      <alignment horizontal="left" vertical="top" wrapText="1"/>
    </xf>
    <xf numFmtId="49" fontId="16" fillId="4" borderId="5" applyNumberFormat="1" applyFont="1" applyFill="1" applyBorder="1" applyAlignment="1" applyProtection="0">
      <alignment horizontal="left" vertical="center" wrapText="1"/>
    </xf>
    <xf numFmtId="0" fontId="16" fillId="4" borderId="5" applyNumberFormat="0" applyFont="1" applyFill="1" applyBorder="1" applyAlignment="1" applyProtection="0">
      <alignment horizontal="left" vertical="center" wrapText="1"/>
    </xf>
    <xf numFmtId="0" fontId="0" fillId="6" borderId="16" applyNumberFormat="0" applyFont="1" applyFill="1" applyBorder="1" applyAlignment="1" applyProtection="0">
      <alignment horizontal="left" vertical="center" wrapText="1"/>
    </xf>
    <xf numFmtId="49" fontId="0" fillId="6" borderId="5" applyNumberFormat="1" applyFont="1" applyFill="1" applyBorder="1" applyAlignment="1" applyProtection="0">
      <alignment horizontal="left" vertical="top" wrapText="1"/>
    </xf>
    <xf numFmtId="0" fontId="0" fillId="6" borderId="5" applyNumberFormat="0" applyFont="1" applyFill="1" applyBorder="1" applyAlignment="1" applyProtection="0">
      <alignment horizontal="left" vertical="top" wrapText="1"/>
    </xf>
    <xf numFmtId="0" fontId="0" fillId="6" borderId="16" applyNumberFormat="0" applyFont="1" applyFill="1" applyBorder="1" applyAlignment="1" applyProtection="0">
      <alignment horizontal="left" vertical="top" wrapText="1"/>
    </xf>
    <xf numFmtId="49" fontId="0" fillId="6" borderId="5" applyNumberFormat="1" applyFont="1" applyFill="1" applyBorder="1" applyAlignment="1" applyProtection="0">
      <alignment horizontal="left" vertical="top"/>
    </xf>
    <xf numFmtId="0" fontId="0" fillId="6" borderId="5" applyNumberFormat="0" applyFont="1" applyFill="1" applyBorder="1" applyAlignment="1" applyProtection="0">
      <alignment horizontal="left" vertical="top"/>
    </xf>
    <xf numFmtId="0" fontId="0" fillId="6" borderId="16" applyNumberFormat="0" applyFont="1" applyFill="1" applyBorder="1" applyAlignment="1" applyProtection="0">
      <alignment horizontal="left" vertical="top"/>
    </xf>
    <xf numFmtId="49" fontId="0" fillId="6" borderId="22" applyNumberFormat="1" applyFont="1" applyFill="1" applyBorder="1" applyAlignment="1" applyProtection="0">
      <alignment horizontal="left" vertical="center"/>
    </xf>
    <xf numFmtId="49" fontId="0" fillId="6" borderId="20" applyNumberFormat="1" applyFont="1" applyFill="1" applyBorder="1" applyAlignment="1" applyProtection="0">
      <alignment vertical="center"/>
    </xf>
    <xf numFmtId="0" fontId="0" fillId="6" borderId="21" applyNumberFormat="0" applyFont="1" applyFill="1" applyBorder="1" applyAlignment="1" applyProtection="0">
      <alignment horizontal="left" vertical="center" wrapText="1"/>
    </xf>
    <xf numFmtId="49" fontId="0" fillId="6" borderId="5" applyNumberFormat="1" applyFont="1" applyFill="1" applyBorder="1" applyAlignment="1" applyProtection="0">
      <alignment vertical="center"/>
    </xf>
    <xf numFmtId="49" fontId="0" fillId="6" borderId="15" applyNumberFormat="1" applyFont="1" applyFill="1" applyBorder="1" applyAlignment="1" applyProtection="0">
      <alignment vertical="center"/>
    </xf>
    <xf numFmtId="49" fontId="0" fillId="6" borderId="20" applyNumberFormat="1" applyFont="1" applyFill="1" applyBorder="1" applyAlignment="1" applyProtection="0">
      <alignment horizontal="left" vertical="center"/>
    </xf>
    <xf numFmtId="49" fontId="4" fillId="6" borderId="18" applyNumberFormat="1" applyFont="1" applyFill="1" applyBorder="1" applyAlignment="1" applyProtection="0">
      <alignment horizontal="left" vertical="center"/>
    </xf>
    <xf numFmtId="0" fontId="4" fillId="6" borderId="18" applyNumberFormat="0" applyFont="1" applyFill="1" applyBorder="1" applyAlignment="1" applyProtection="0">
      <alignment horizontal="left" vertical="center"/>
    </xf>
    <xf numFmtId="0" fontId="4" fillId="6" borderId="16" applyNumberFormat="0" applyFont="1" applyFill="1" applyBorder="1" applyAlignment="1" applyProtection="0">
      <alignment horizontal="left" vertical="center"/>
    </xf>
    <xf numFmtId="0" fontId="0" fillId="13" borderId="17" applyNumberFormat="0" applyFont="1" applyFill="1" applyBorder="1" applyAlignment="1" applyProtection="0">
      <alignment vertical="center"/>
    </xf>
    <xf numFmtId="0" fontId="0" fillId="6" borderId="23" applyNumberFormat="0" applyFont="1" applyFill="1" applyBorder="1" applyAlignment="1" applyProtection="0">
      <alignment horizontal="left" vertical="center" wrapText="1"/>
    </xf>
    <xf numFmtId="0" fontId="0" fillId="6" borderId="26" applyNumberFormat="0" applyFont="1" applyFill="1" applyBorder="1" applyAlignment="1" applyProtection="0">
      <alignment horizontal="left" vertical="center" wrapText="1"/>
    </xf>
    <xf numFmtId="0" fontId="0" fillId="6" borderId="25" applyNumberFormat="0" applyFont="1" applyFill="1" applyBorder="1" applyAlignment="1" applyProtection="0">
      <alignment horizontal="left" vertical="center" wrapText="1"/>
    </xf>
    <xf numFmtId="0" fontId="0" fillId="6" borderId="26" applyNumberFormat="0" applyFont="1" applyFill="1" applyBorder="1" applyAlignment="1" applyProtection="0">
      <alignment horizontal="center" vertical="center" wrapText="1"/>
    </xf>
    <xf numFmtId="49" fontId="16" fillId="4" borderId="5" applyNumberFormat="1" applyFont="1" applyFill="1" applyBorder="1" applyAlignment="1" applyProtection="0">
      <alignment horizontal="left" vertical="center"/>
    </xf>
    <xf numFmtId="0" fontId="16" fillId="4" borderId="5" applyNumberFormat="0" applyFont="1" applyFill="1" applyBorder="1" applyAlignment="1" applyProtection="0">
      <alignment horizontal="left" vertical="center"/>
    </xf>
    <xf numFmtId="49" fontId="0" fillId="6" borderId="21" applyNumberFormat="1" applyFont="1" applyFill="1" applyBorder="1" applyAlignment="1" applyProtection="0">
      <alignment horizontal="left" vertical="center" wrapText="1"/>
    </xf>
    <xf numFmtId="49" fontId="0" fillId="6" borderId="20" applyNumberFormat="1" applyFont="1" applyFill="1" applyBorder="1" applyAlignment="1" applyProtection="0">
      <alignment vertical="center" wrapText="1"/>
    </xf>
    <xf numFmtId="0" fontId="0" fillId="6" borderId="5" applyNumberFormat="0" applyFont="1" applyFill="1" applyBorder="1" applyAlignment="1" applyProtection="0">
      <alignment vertical="center" wrapText="1"/>
    </xf>
    <xf numFmtId="0" fontId="0" fillId="6" borderId="21" applyNumberFormat="0" applyFont="1" applyFill="1" applyBorder="1" applyAlignment="1" applyProtection="0">
      <alignment vertical="center" wrapText="1"/>
    </xf>
    <xf numFmtId="0" fontId="0" fillId="6" borderId="16" applyNumberFormat="0" applyFont="1" applyFill="1" applyBorder="1" applyAlignment="1" applyProtection="0">
      <alignment vertical="center" wrapText="1"/>
    </xf>
    <xf numFmtId="49" fontId="0" fillId="4" borderId="52" applyNumberFormat="1" applyFont="1" applyFill="1" applyBorder="1" applyAlignment="1" applyProtection="0">
      <alignment vertical="center"/>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23" fillId="4" borderId="4" applyNumberFormat="1" applyFont="1" applyFill="1" applyBorder="1" applyAlignment="1" applyProtection="0">
      <alignment vertical="bottom"/>
    </xf>
    <xf numFmtId="49" fontId="23" fillId="4" borderId="5" applyNumberFormat="1" applyFont="1" applyFill="1" applyBorder="1" applyAlignment="1" applyProtection="0">
      <alignment vertical="bottom"/>
    </xf>
    <xf numFmtId="49" fontId="23" fillId="4" borderId="5" applyNumberFormat="1" applyFont="1" applyFill="1" applyBorder="1" applyAlignment="1" applyProtection="0">
      <alignment vertical="center"/>
    </xf>
    <xf numFmtId="49" fontId="0" fillId="4" borderId="4" applyNumberFormat="1" applyFont="1" applyFill="1" applyBorder="1" applyAlignment="1" applyProtection="0">
      <alignment vertical="bottom"/>
    </xf>
    <xf numFmtId="49" fontId="0" fillId="4" borderId="5" applyNumberFormat="1" applyFont="1" applyFill="1" applyBorder="1" applyAlignment="1" applyProtection="0">
      <alignment vertical="bottom"/>
    </xf>
    <xf numFmtId="0" fontId="23" fillId="4" borderId="5" applyNumberFormat="0" applyFont="1" applyFill="1" applyBorder="1" applyAlignment="1" applyProtection="0">
      <alignment vertical="center"/>
    </xf>
    <xf numFmtId="0" fontId="23" fillId="4" borderId="6" applyNumberFormat="0" applyFont="1" applyFill="1" applyBorder="1" applyAlignment="1" applyProtection="0">
      <alignment vertical="center"/>
    </xf>
    <xf numFmtId="0" fontId="0" fillId="4" borderId="44" applyNumberFormat="0" applyFont="1" applyFill="1" applyBorder="1" applyAlignment="1" applyProtection="0">
      <alignment vertical="bottom"/>
    </xf>
    <xf numFmtId="0" fontId="0" fillId="4" borderId="52" applyNumberFormat="0" applyFont="1" applyFill="1" applyBorder="1" applyAlignment="1" applyProtection="0">
      <alignment vertical="bottom"/>
    </xf>
    <xf numFmtId="0" fontId="0" fillId="4" borderId="47"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595959"/>
      <rgbColor rgb="ffd8d8d8"/>
      <rgbColor rgb="ff1f497d"/>
      <rgbColor rgb="ffdbe5f1"/>
      <rgbColor rgb="ff7f7f7f"/>
      <rgbColor rgb="fff2f2f2"/>
      <rgbColor rgb="ffb8cce4"/>
      <rgbColor rgb="ffd2dae4"/>
      <rgbColor rgb="ffa5b6ca"/>
      <rgbColor rgb="ff7891b0"/>
      <rgbColor rgb="ffc5d9f1"/>
      <rgbColor rgb="00000000"/>
      <rgbColor rgb="ffdce6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drawings/_rels/drawing1.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2.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3.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4.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5.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6.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7.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8.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_rels/drawing9.xml.rels><?xml version="1.0" encoding="UTF-8"?>
<Relationships xmlns="http://schemas.openxmlformats.org/package/2006/relationships"><Relationship Id="rId1" Type="http://schemas.openxmlformats.org/officeDocument/2006/relationships/hyperlink" Target="#'Kap. 1, 2, 3'!R1C1"/><Relationship Id="rId2" Type="http://schemas.openxmlformats.org/officeDocument/2006/relationships/hyperlink" Target="#'Kap. 5 Pflegegrad'!R1C1"/><Relationship Id="rId3" Type="http://schemas.openxmlformats.org/officeDocument/2006/relationships/hyperlink" Target="#'Kap. 6, 7, 8, 9'!R1C1"/><Relationship Id="rId4" Type="http://schemas.openxmlformats.org/officeDocument/2006/relationships/hyperlink" Target="#'Modul 1'!R1C1"/><Relationship Id="rId5" Type="http://schemas.openxmlformats.org/officeDocument/2006/relationships/hyperlink" Target="#'Modul 2'!R1C1"/><Relationship Id="rId6" Type="http://schemas.openxmlformats.org/officeDocument/2006/relationships/hyperlink" Target="#'Modul 3'!R1C1"/><Relationship Id="rId7" Type="http://schemas.openxmlformats.org/officeDocument/2006/relationships/hyperlink" Target="#'Modul 4'!R1C1"/><Relationship Id="rId8" Type="http://schemas.openxmlformats.org/officeDocument/2006/relationships/hyperlink" Target="#'Modul 6'!R1C1"/><Relationship Id="rId9" Type="http://schemas.openxmlformats.org/officeDocument/2006/relationships/hyperlink" Target="#'Modul 5'!R1C1"/></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4" name="Abgerundetes Rechteck 66">
          <a:hlinkClick r:id="rId1" invalidUrl="" action="" tgtFrame="" tooltip="" history="1" highlightClick="0" endSnd="0"/>
        </xdr:cNvPr>
        <xdr:cNvGrpSpPr/>
      </xdr:nvGrpSpPr>
      <xdr:grpSpPr>
        <a:xfrm>
          <a:off x="889000" y="200025"/>
          <a:ext cx="893650" cy="216000"/>
          <a:chOff x="0" y="0"/>
          <a:chExt cx="893649" cy="215999"/>
        </a:xfrm>
      </xdr:grpSpPr>
      <xdr:sp>
        <xdr:nvSpPr>
          <xdr:cNvPr id="2" name="Abgerundetes Rechteck"/>
          <xdr:cNvSpPr/>
        </xdr:nvSpPr>
        <xdr:spPr>
          <a:xfrm>
            <a:off x="0" y="0"/>
            <a:ext cx="893650" cy="216000"/>
          </a:xfrm>
          <a:prstGeom prst="roundRect">
            <a:avLst>
              <a:gd name="adj" fmla="val 16667"/>
            </a:avLst>
          </a:prstGeom>
          <a:solidFill>
            <a:srgbClr val="1083D0"/>
          </a:solidFill>
          <a:ln w="19050" cap="flat">
            <a:solidFill>
              <a:srgbClr val="0070C0"/>
            </a:solidFill>
            <a:prstDash val="solid"/>
            <a:round/>
          </a:ln>
          <a:effectLst/>
        </xdr:spPr>
        <xdr:txBody>
          <a:bodyPr/>
          <a:lstStyle/>
          <a:p>
            <a:pPr/>
          </a:p>
        </xdr:txBody>
      </xdr:sp>
      <xdr:sp>
        <xdr:nvSpPr>
          <xdr:cNvPr id="3"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7" name="Abgerundetes Rechteck 67">
          <a:hlinkClick r:id="rId2" invalidUrl="" action="" tgtFrame="" tooltip="" history="1" highlightClick="0" endSnd="0"/>
        </xdr:cNvPr>
        <xdr:cNvGrpSpPr/>
      </xdr:nvGrpSpPr>
      <xdr:grpSpPr>
        <a:xfrm>
          <a:off x="7512050" y="200025"/>
          <a:ext cx="893651" cy="216000"/>
          <a:chOff x="0" y="0"/>
          <a:chExt cx="893650" cy="215999"/>
        </a:xfrm>
      </xdr:grpSpPr>
      <xdr:sp>
        <xdr:nvSpPr>
          <xdr:cNvPr id="5"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6"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9525</xdr:colOff>
      <xdr:row>1</xdr:row>
      <xdr:rowOff>0</xdr:rowOff>
    </xdr:from>
    <xdr:to>
      <xdr:col>21</xdr:col>
      <xdr:colOff>14175</xdr:colOff>
      <xdr:row>2</xdr:row>
      <xdr:rowOff>15974</xdr:rowOff>
    </xdr:to>
    <xdr:grpSp>
      <xdr:nvGrpSpPr>
        <xdr:cNvPr id="10" name="Abgerundetes Rechteck 68">
          <a:hlinkClick r:id="rId3" invalidUrl="" action="" tgtFrame="" tooltip="" history="1" highlightClick="0" endSnd="0"/>
        </xdr:cNvPr>
        <xdr:cNvGrpSpPr/>
      </xdr:nvGrpSpPr>
      <xdr:grpSpPr>
        <a:xfrm>
          <a:off x="8455025" y="200025"/>
          <a:ext cx="893651" cy="216000"/>
          <a:chOff x="0" y="0"/>
          <a:chExt cx="893650" cy="215999"/>
        </a:xfrm>
      </xdr:grpSpPr>
      <xdr:sp>
        <xdr:nvSpPr>
          <xdr:cNvPr id="8"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9"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13" name="Abgerundetes Rechteck 69">
          <a:hlinkClick r:id="rId4" invalidUrl="" action="" tgtFrame="" tooltip="" history="1" highlightClick="0" endSnd="0"/>
        </xdr:cNvPr>
        <xdr:cNvGrpSpPr/>
      </xdr:nvGrpSpPr>
      <xdr:grpSpPr>
        <a:xfrm>
          <a:off x="1835150" y="200025"/>
          <a:ext cx="893650" cy="216000"/>
          <a:chOff x="0" y="0"/>
          <a:chExt cx="893649" cy="215999"/>
        </a:xfrm>
      </xdr:grpSpPr>
      <xdr:sp>
        <xdr:nvSpPr>
          <xdr:cNvPr id="11"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2"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16" name="Abgerundetes Rechteck 70">
          <a:hlinkClick r:id="rId5" invalidUrl="" action="" tgtFrame="" tooltip="" history="1" highlightClick="0" endSnd="0"/>
        </xdr:cNvPr>
        <xdr:cNvGrpSpPr/>
      </xdr:nvGrpSpPr>
      <xdr:grpSpPr>
        <a:xfrm>
          <a:off x="2781300" y="200025"/>
          <a:ext cx="893651" cy="216000"/>
          <a:chOff x="0" y="0"/>
          <a:chExt cx="893650" cy="215999"/>
        </a:xfrm>
      </xdr:grpSpPr>
      <xdr:sp>
        <xdr:nvSpPr>
          <xdr:cNvPr id="14"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5"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19" name="Abgerundetes Rechteck 71">
          <a:hlinkClick r:id="rId6" invalidUrl="" action="" tgtFrame="" tooltip="" history="1" highlightClick="0" endSnd="0"/>
        </xdr:cNvPr>
        <xdr:cNvGrpSpPr/>
      </xdr:nvGrpSpPr>
      <xdr:grpSpPr>
        <a:xfrm>
          <a:off x="3727450" y="200025"/>
          <a:ext cx="893651" cy="216000"/>
          <a:chOff x="0" y="0"/>
          <a:chExt cx="893650" cy="215999"/>
        </a:xfrm>
      </xdr:grpSpPr>
      <xdr:sp>
        <xdr:nvSpPr>
          <xdr:cNvPr id="17"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8"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22" name="Abgerundetes Rechteck 72">
          <a:hlinkClick r:id="rId7" invalidUrl="" action="" tgtFrame="" tooltip="" history="1" highlightClick="0" endSnd="0"/>
        </xdr:cNvPr>
        <xdr:cNvGrpSpPr/>
      </xdr:nvGrpSpPr>
      <xdr:grpSpPr>
        <a:xfrm>
          <a:off x="4673600" y="200025"/>
          <a:ext cx="893651" cy="216000"/>
          <a:chOff x="0" y="0"/>
          <a:chExt cx="893650" cy="215999"/>
        </a:xfrm>
      </xdr:grpSpPr>
      <xdr:sp>
        <xdr:nvSpPr>
          <xdr:cNvPr id="20"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1"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25" name="Abgerundetes Rechteck 73">
          <a:hlinkClick r:id="rId8" invalidUrl="" action="" tgtFrame="" tooltip="" history="1" highlightClick="0" endSnd="0"/>
        </xdr:cNvPr>
        <xdr:cNvGrpSpPr/>
      </xdr:nvGrpSpPr>
      <xdr:grpSpPr>
        <a:xfrm>
          <a:off x="6565900" y="200025"/>
          <a:ext cx="893651" cy="216000"/>
          <a:chOff x="0" y="0"/>
          <a:chExt cx="893650" cy="215999"/>
        </a:xfrm>
      </xdr:grpSpPr>
      <xdr:sp>
        <xdr:nvSpPr>
          <xdr:cNvPr id="23"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4"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28" name="Abgerundetes Rechteck 74">
          <a:hlinkClick r:id="rId9" invalidUrl="" action="" tgtFrame="" tooltip="" history="1" highlightClick="0" endSnd="0"/>
        </xdr:cNvPr>
        <xdr:cNvGrpSpPr/>
      </xdr:nvGrpSpPr>
      <xdr:grpSpPr>
        <a:xfrm>
          <a:off x="5619750" y="200025"/>
          <a:ext cx="893651" cy="216000"/>
          <a:chOff x="0" y="0"/>
          <a:chExt cx="893650" cy="215999"/>
        </a:xfrm>
      </xdr:grpSpPr>
      <xdr:sp>
        <xdr:nvSpPr>
          <xdr:cNvPr id="26"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7"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59" name="Abgerundetes Rechteck 47">
          <a:hlinkClick r:id="rId1" invalidUrl="" action="" tgtFrame="" tooltip="" history="1" highlightClick="0" endSnd="0"/>
        </xdr:cNvPr>
        <xdr:cNvGrpSpPr/>
      </xdr:nvGrpSpPr>
      <xdr:grpSpPr>
        <a:xfrm>
          <a:off x="889000" y="200025"/>
          <a:ext cx="893650" cy="216000"/>
          <a:chOff x="0" y="0"/>
          <a:chExt cx="893649" cy="215999"/>
        </a:xfrm>
      </xdr:grpSpPr>
      <xdr:sp>
        <xdr:nvSpPr>
          <xdr:cNvPr id="57"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58"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62" name="Abgerundetes Rechteck 48">
          <a:hlinkClick r:id="rId2" invalidUrl="" action="" tgtFrame="" tooltip="" history="1" highlightClick="0" endSnd="0"/>
        </xdr:cNvPr>
        <xdr:cNvGrpSpPr/>
      </xdr:nvGrpSpPr>
      <xdr:grpSpPr>
        <a:xfrm>
          <a:off x="7512050" y="200025"/>
          <a:ext cx="893651" cy="216000"/>
          <a:chOff x="0" y="0"/>
          <a:chExt cx="893650" cy="215999"/>
        </a:xfrm>
      </xdr:grpSpPr>
      <xdr:sp>
        <xdr:nvSpPr>
          <xdr:cNvPr id="60"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61"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9524</xdr:colOff>
      <xdr:row>1</xdr:row>
      <xdr:rowOff>0</xdr:rowOff>
    </xdr:from>
    <xdr:to>
      <xdr:col>22</xdr:col>
      <xdr:colOff>14174</xdr:colOff>
      <xdr:row>2</xdr:row>
      <xdr:rowOff>15974</xdr:rowOff>
    </xdr:to>
    <xdr:grpSp>
      <xdr:nvGrpSpPr>
        <xdr:cNvPr id="65" name="Abgerundetes Rechteck 49">
          <a:hlinkClick r:id="rId3" invalidUrl="" action="" tgtFrame="" tooltip="" history="1" highlightClick="0" endSnd="0"/>
        </xdr:cNvPr>
        <xdr:cNvGrpSpPr/>
      </xdr:nvGrpSpPr>
      <xdr:grpSpPr>
        <a:xfrm>
          <a:off x="8455024" y="200025"/>
          <a:ext cx="893651" cy="216000"/>
          <a:chOff x="0" y="0"/>
          <a:chExt cx="893650" cy="215999"/>
        </a:xfrm>
      </xdr:grpSpPr>
      <xdr:sp>
        <xdr:nvSpPr>
          <xdr:cNvPr id="63"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64"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68" name="Abgerundetes Rechteck 50">
          <a:hlinkClick r:id="rId4" invalidUrl="" action="" tgtFrame="" tooltip="" history="1" highlightClick="0" endSnd="0"/>
        </xdr:cNvPr>
        <xdr:cNvGrpSpPr/>
      </xdr:nvGrpSpPr>
      <xdr:grpSpPr>
        <a:xfrm>
          <a:off x="1835150" y="200025"/>
          <a:ext cx="893650" cy="216000"/>
          <a:chOff x="0" y="0"/>
          <a:chExt cx="893649" cy="215999"/>
        </a:xfrm>
      </xdr:grpSpPr>
      <xdr:sp>
        <xdr:nvSpPr>
          <xdr:cNvPr id="66" name="Abgerundetes Rechteck"/>
          <xdr:cNvSpPr/>
        </xdr:nvSpPr>
        <xdr:spPr>
          <a:xfrm>
            <a:off x="0" y="0"/>
            <a:ext cx="893650" cy="216000"/>
          </a:xfrm>
          <a:prstGeom prst="roundRect">
            <a:avLst>
              <a:gd name="adj" fmla="val 16667"/>
            </a:avLst>
          </a:prstGeom>
          <a:solidFill>
            <a:srgbClr val="AACE22"/>
          </a:solidFill>
          <a:ln w="19050" cap="flat">
            <a:solidFill>
              <a:srgbClr val="008000"/>
            </a:solidFill>
            <a:prstDash val="solid"/>
            <a:round/>
          </a:ln>
          <a:effectLst/>
        </xdr:spPr>
        <xdr:txBody>
          <a:bodyPr/>
          <a:lstStyle/>
          <a:p>
            <a:pPr/>
          </a:p>
        </xdr:txBody>
      </xdr:sp>
      <xdr:sp>
        <xdr:nvSpPr>
          <xdr:cNvPr id="67"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71" name="Abgerundetes Rechteck 51">
          <a:hlinkClick r:id="rId5" invalidUrl="" action="" tgtFrame="" tooltip="" history="1" highlightClick="0" endSnd="0"/>
        </xdr:cNvPr>
        <xdr:cNvGrpSpPr/>
      </xdr:nvGrpSpPr>
      <xdr:grpSpPr>
        <a:xfrm>
          <a:off x="2781300" y="200025"/>
          <a:ext cx="893651" cy="216000"/>
          <a:chOff x="0" y="0"/>
          <a:chExt cx="893650" cy="215999"/>
        </a:xfrm>
      </xdr:grpSpPr>
      <xdr:sp>
        <xdr:nvSpPr>
          <xdr:cNvPr id="69"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70"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74" name="Abgerundetes Rechteck 52">
          <a:hlinkClick r:id="rId6" invalidUrl="" action="" tgtFrame="" tooltip="" history="1" highlightClick="0" endSnd="0"/>
        </xdr:cNvPr>
        <xdr:cNvGrpSpPr/>
      </xdr:nvGrpSpPr>
      <xdr:grpSpPr>
        <a:xfrm>
          <a:off x="3727450" y="200025"/>
          <a:ext cx="893651" cy="216000"/>
          <a:chOff x="0" y="0"/>
          <a:chExt cx="893650" cy="215999"/>
        </a:xfrm>
      </xdr:grpSpPr>
      <xdr:sp>
        <xdr:nvSpPr>
          <xdr:cNvPr id="72"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73"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77" name="Abgerundetes Rechteck 53">
          <a:hlinkClick r:id="rId7" invalidUrl="" action="" tgtFrame="" tooltip="" history="1" highlightClick="0" endSnd="0"/>
        </xdr:cNvPr>
        <xdr:cNvGrpSpPr/>
      </xdr:nvGrpSpPr>
      <xdr:grpSpPr>
        <a:xfrm>
          <a:off x="4673600" y="200025"/>
          <a:ext cx="893651" cy="216000"/>
          <a:chOff x="0" y="0"/>
          <a:chExt cx="893650" cy="215999"/>
        </a:xfrm>
      </xdr:grpSpPr>
      <xdr:sp>
        <xdr:nvSpPr>
          <xdr:cNvPr id="75"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76"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80" name="Abgerundetes Rechteck 54">
          <a:hlinkClick r:id="rId8" invalidUrl="" action="" tgtFrame="" tooltip="" history="1" highlightClick="0" endSnd="0"/>
        </xdr:cNvPr>
        <xdr:cNvGrpSpPr/>
      </xdr:nvGrpSpPr>
      <xdr:grpSpPr>
        <a:xfrm>
          <a:off x="6565900" y="200025"/>
          <a:ext cx="893651" cy="216000"/>
          <a:chOff x="0" y="0"/>
          <a:chExt cx="893650" cy="215999"/>
        </a:xfrm>
      </xdr:grpSpPr>
      <xdr:sp>
        <xdr:nvSpPr>
          <xdr:cNvPr id="78"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79"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83" name="Abgerundetes Rechteck 55">
          <a:hlinkClick r:id="rId9" invalidUrl="" action="" tgtFrame="" tooltip="" history="1" highlightClick="0" endSnd="0"/>
        </xdr:cNvPr>
        <xdr:cNvGrpSpPr/>
      </xdr:nvGrpSpPr>
      <xdr:grpSpPr>
        <a:xfrm>
          <a:off x="5619750" y="200025"/>
          <a:ext cx="893651" cy="216000"/>
          <a:chOff x="0" y="0"/>
          <a:chExt cx="893650" cy="215999"/>
        </a:xfrm>
      </xdr:grpSpPr>
      <xdr:sp>
        <xdr:nvSpPr>
          <xdr:cNvPr id="81"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82"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143" name="Abgerundetes Rechteck 67">
          <a:hlinkClick r:id="rId1" invalidUrl="" action="" tgtFrame="" tooltip="" history="1" highlightClick="0" endSnd="0"/>
        </xdr:cNvPr>
        <xdr:cNvGrpSpPr/>
      </xdr:nvGrpSpPr>
      <xdr:grpSpPr>
        <a:xfrm>
          <a:off x="889000" y="200025"/>
          <a:ext cx="893650" cy="216000"/>
          <a:chOff x="0" y="0"/>
          <a:chExt cx="893649" cy="215999"/>
        </a:xfrm>
      </xdr:grpSpPr>
      <xdr:sp>
        <xdr:nvSpPr>
          <xdr:cNvPr id="141"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142"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146" name="Abgerundetes Rechteck 68">
          <a:hlinkClick r:id="rId2" invalidUrl="" action="" tgtFrame="" tooltip="" history="1" highlightClick="0" endSnd="0"/>
        </xdr:cNvPr>
        <xdr:cNvGrpSpPr/>
      </xdr:nvGrpSpPr>
      <xdr:grpSpPr>
        <a:xfrm>
          <a:off x="7512050" y="200025"/>
          <a:ext cx="893651" cy="216000"/>
          <a:chOff x="0" y="0"/>
          <a:chExt cx="893650" cy="215999"/>
        </a:xfrm>
      </xdr:grpSpPr>
      <xdr:sp>
        <xdr:nvSpPr>
          <xdr:cNvPr id="144"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145"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9524</xdr:colOff>
      <xdr:row>1</xdr:row>
      <xdr:rowOff>0</xdr:rowOff>
    </xdr:from>
    <xdr:to>
      <xdr:col>22</xdr:col>
      <xdr:colOff>14174</xdr:colOff>
      <xdr:row>2</xdr:row>
      <xdr:rowOff>15974</xdr:rowOff>
    </xdr:to>
    <xdr:grpSp>
      <xdr:nvGrpSpPr>
        <xdr:cNvPr id="149" name="Abgerundetes Rechteck 69">
          <a:hlinkClick r:id="rId3" invalidUrl="" action="" tgtFrame="" tooltip="" history="1" highlightClick="0" endSnd="0"/>
        </xdr:cNvPr>
        <xdr:cNvGrpSpPr/>
      </xdr:nvGrpSpPr>
      <xdr:grpSpPr>
        <a:xfrm>
          <a:off x="8455024" y="200025"/>
          <a:ext cx="893651" cy="216000"/>
          <a:chOff x="0" y="0"/>
          <a:chExt cx="893650" cy="215999"/>
        </a:xfrm>
      </xdr:grpSpPr>
      <xdr:sp>
        <xdr:nvSpPr>
          <xdr:cNvPr id="147"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148"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152" name="Abgerundetes Rechteck 70">
          <a:hlinkClick r:id="rId4" invalidUrl="" action="" tgtFrame="" tooltip="" history="1" highlightClick="0" endSnd="0"/>
        </xdr:cNvPr>
        <xdr:cNvGrpSpPr/>
      </xdr:nvGrpSpPr>
      <xdr:grpSpPr>
        <a:xfrm>
          <a:off x="1835150" y="200025"/>
          <a:ext cx="893650" cy="216000"/>
          <a:chOff x="0" y="0"/>
          <a:chExt cx="893649" cy="215999"/>
        </a:xfrm>
      </xdr:grpSpPr>
      <xdr:sp>
        <xdr:nvSpPr>
          <xdr:cNvPr id="150"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51"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155" name="Abgerundetes Rechteck 71">
          <a:hlinkClick r:id="rId5" invalidUrl="" action="" tgtFrame="" tooltip="" history="1" highlightClick="0" endSnd="0"/>
        </xdr:cNvPr>
        <xdr:cNvGrpSpPr/>
      </xdr:nvGrpSpPr>
      <xdr:grpSpPr>
        <a:xfrm>
          <a:off x="2781300" y="200025"/>
          <a:ext cx="893651" cy="216000"/>
          <a:chOff x="0" y="0"/>
          <a:chExt cx="893650" cy="215999"/>
        </a:xfrm>
      </xdr:grpSpPr>
      <xdr:sp>
        <xdr:nvSpPr>
          <xdr:cNvPr id="153" name="Abgerundetes Rechteck"/>
          <xdr:cNvSpPr/>
        </xdr:nvSpPr>
        <xdr:spPr>
          <a:xfrm>
            <a:off x="0" y="0"/>
            <a:ext cx="893651" cy="216000"/>
          </a:xfrm>
          <a:prstGeom prst="roundRect">
            <a:avLst>
              <a:gd name="adj" fmla="val 16667"/>
            </a:avLst>
          </a:prstGeom>
          <a:solidFill>
            <a:srgbClr val="AACE22"/>
          </a:solidFill>
          <a:ln w="19050" cap="flat">
            <a:solidFill>
              <a:srgbClr val="008000"/>
            </a:solidFill>
            <a:prstDash val="solid"/>
            <a:round/>
          </a:ln>
          <a:effectLst/>
        </xdr:spPr>
        <xdr:txBody>
          <a:bodyPr/>
          <a:lstStyle/>
          <a:p>
            <a:pPr/>
          </a:p>
        </xdr:txBody>
      </xdr:sp>
      <xdr:sp>
        <xdr:nvSpPr>
          <xdr:cNvPr id="154"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158" name="Abgerundetes Rechteck 72">
          <a:hlinkClick r:id="rId6" invalidUrl="" action="" tgtFrame="" tooltip="" history="1" highlightClick="0" endSnd="0"/>
        </xdr:cNvPr>
        <xdr:cNvGrpSpPr/>
      </xdr:nvGrpSpPr>
      <xdr:grpSpPr>
        <a:xfrm>
          <a:off x="3727450" y="200025"/>
          <a:ext cx="893651" cy="216000"/>
          <a:chOff x="0" y="0"/>
          <a:chExt cx="893650" cy="215999"/>
        </a:xfrm>
      </xdr:grpSpPr>
      <xdr:sp>
        <xdr:nvSpPr>
          <xdr:cNvPr id="156"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57"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161" name="Abgerundetes Rechteck 73">
          <a:hlinkClick r:id="rId7" invalidUrl="" action="" tgtFrame="" tooltip="" history="1" highlightClick="0" endSnd="0"/>
        </xdr:cNvPr>
        <xdr:cNvGrpSpPr/>
      </xdr:nvGrpSpPr>
      <xdr:grpSpPr>
        <a:xfrm>
          <a:off x="4673600" y="200025"/>
          <a:ext cx="893651" cy="216000"/>
          <a:chOff x="0" y="0"/>
          <a:chExt cx="893650" cy="215999"/>
        </a:xfrm>
      </xdr:grpSpPr>
      <xdr:sp>
        <xdr:nvSpPr>
          <xdr:cNvPr id="159"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60"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164" name="Abgerundetes Rechteck 74">
          <a:hlinkClick r:id="rId8" invalidUrl="" action="" tgtFrame="" tooltip="" history="1" highlightClick="0" endSnd="0"/>
        </xdr:cNvPr>
        <xdr:cNvGrpSpPr/>
      </xdr:nvGrpSpPr>
      <xdr:grpSpPr>
        <a:xfrm>
          <a:off x="6565900" y="200025"/>
          <a:ext cx="893651" cy="216000"/>
          <a:chOff x="0" y="0"/>
          <a:chExt cx="893650" cy="215999"/>
        </a:xfrm>
      </xdr:grpSpPr>
      <xdr:sp>
        <xdr:nvSpPr>
          <xdr:cNvPr id="162"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63"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167" name="Abgerundetes Rechteck 75">
          <a:hlinkClick r:id="rId9" invalidUrl="" action="" tgtFrame="" tooltip="" history="1" highlightClick="0" endSnd="0"/>
        </xdr:cNvPr>
        <xdr:cNvGrpSpPr/>
      </xdr:nvGrpSpPr>
      <xdr:grpSpPr>
        <a:xfrm>
          <a:off x="5619750" y="200025"/>
          <a:ext cx="893651" cy="216000"/>
          <a:chOff x="0" y="0"/>
          <a:chExt cx="893650" cy="215999"/>
        </a:xfrm>
      </xdr:grpSpPr>
      <xdr:sp>
        <xdr:nvSpPr>
          <xdr:cNvPr id="165"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66"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185" name="Abgerundetes Rechteck 85">
          <a:hlinkClick r:id="rId1" invalidUrl="" action="" tgtFrame="" tooltip="" history="1" highlightClick="0" endSnd="0"/>
        </xdr:cNvPr>
        <xdr:cNvGrpSpPr/>
      </xdr:nvGrpSpPr>
      <xdr:grpSpPr>
        <a:xfrm>
          <a:off x="889000" y="200025"/>
          <a:ext cx="893650" cy="216000"/>
          <a:chOff x="0" y="0"/>
          <a:chExt cx="893649" cy="215999"/>
        </a:xfrm>
      </xdr:grpSpPr>
      <xdr:sp>
        <xdr:nvSpPr>
          <xdr:cNvPr id="183"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184"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188" name="Abgerundetes Rechteck 86">
          <a:hlinkClick r:id="rId2" invalidUrl="" action="" tgtFrame="" tooltip="" history="1" highlightClick="0" endSnd="0"/>
        </xdr:cNvPr>
        <xdr:cNvGrpSpPr/>
      </xdr:nvGrpSpPr>
      <xdr:grpSpPr>
        <a:xfrm>
          <a:off x="7512050" y="200025"/>
          <a:ext cx="893651" cy="216000"/>
          <a:chOff x="0" y="0"/>
          <a:chExt cx="893650" cy="215999"/>
        </a:xfrm>
      </xdr:grpSpPr>
      <xdr:sp>
        <xdr:nvSpPr>
          <xdr:cNvPr id="186"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187"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9525</xdr:colOff>
      <xdr:row>1</xdr:row>
      <xdr:rowOff>0</xdr:rowOff>
    </xdr:from>
    <xdr:to>
      <xdr:col>21</xdr:col>
      <xdr:colOff>14175</xdr:colOff>
      <xdr:row>2</xdr:row>
      <xdr:rowOff>15974</xdr:rowOff>
    </xdr:to>
    <xdr:grpSp>
      <xdr:nvGrpSpPr>
        <xdr:cNvPr id="191" name="Abgerundetes Rechteck 87">
          <a:hlinkClick r:id="rId3" invalidUrl="" action="" tgtFrame="" tooltip="" history="1" highlightClick="0" endSnd="0"/>
        </xdr:cNvPr>
        <xdr:cNvGrpSpPr/>
      </xdr:nvGrpSpPr>
      <xdr:grpSpPr>
        <a:xfrm>
          <a:off x="8455025" y="200025"/>
          <a:ext cx="893651" cy="216000"/>
          <a:chOff x="0" y="0"/>
          <a:chExt cx="893650" cy="215999"/>
        </a:xfrm>
      </xdr:grpSpPr>
      <xdr:sp>
        <xdr:nvSpPr>
          <xdr:cNvPr id="189"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190"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194" name="Abgerundetes Rechteck 88">
          <a:hlinkClick r:id="rId4" invalidUrl="" action="" tgtFrame="" tooltip="" history="1" highlightClick="0" endSnd="0"/>
        </xdr:cNvPr>
        <xdr:cNvGrpSpPr/>
      </xdr:nvGrpSpPr>
      <xdr:grpSpPr>
        <a:xfrm>
          <a:off x="1835150" y="200025"/>
          <a:ext cx="893650" cy="216000"/>
          <a:chOff x="0" y="0"/>
          <a:chExt cx="893649" cy="215999"/>
        </a:xfrm>
      </xdr:grpSpPr>
      <xdr:sp>
        <xdr:nvSpPr>
          <xdr:cNvPr id="192"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93"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197" name="Abgerundetes Rechteck 89">
          <a:hlinkClick r:id="rId5" invalidUrl="" action="" tgtFrame="" tooltip="" history="1" highlightClick="0" endSnd="0"/>
        </xdr:cNvPr>
        <xdr:cNvGrpSpPr/>
      </xdr:nvGrpSpPr>
      <xdr:grpSpPr>
        <a:xfrm>
          <a:off x="2781300" y="200025"/>
          <a:ext cx="893651" cy="216000"/>
          <a:chOff x="0" y="0"/>
          <a:chExt cx="893650" cy="215999"/>
        </a:xfrm>
      </xdr:grpSpPr>
      <xdr:sp>
        <xdr:nvSpPr>
          <xdr:cNvPr id="195"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196"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200" name="Abgerundetes Rechteck 90">
          <a:hlinkClick r:id="rId6" invalidUrl="" action="" tgtFrame="" tooltip="" history="1" highlightClick="0" endSnd="0"/>
        </xdr:cNvPr>
        <xdr:cNvGrpSpPr/>
      </xdr:nvGrpSpPr>
      <xdr:grpSpPr>
        <a:xfrm>
          <a:off x="3727450" y="200025"/>
          <a:ext cx="893651" cy="216000"/>
          <a:chOff x="0" y="0"/>
          <a:chExt cx="893650" cy="215999"/>
        </a:xfrm>
      </xdr:grpSpPr>
      <xdr:sp>
        <xdr:nvSpPr>
          <xdr:cNvPr id="198" name="Abgerundetes Rechteck"/>
          <xdr:cNvSpPr/>
        </xdr:nvSpPr>
        <xdr:spPr>
          <a:xfrm>
            <a:off x="0" y="0"/>
            <a:ext cx="893651" cy="216000"/>
          </a:xfrm>
          <a:prstGeom prst="roundRect">
            <a:avLst>
              <a:gd name="adj" fmla="val 16667"/>
            </a:avLst>
          </a:prstGeom>
          <a:solidFill>
            <a:srgbClr val="AACE22"/>
          </a:solidFill>
          <a:ln w="19050" cap="flat">
            <a:solidFill>
              <a:srgbClr val="008000"/>
            </a:solidFill>
            <a:prstDash val="solid"/>
            <a:round/>
          </a:ln>
          <a:effectLst/>
        </xdr:spPr>
        <xdr:txBody>
          <a:bodyPr/>
          <a:lstStyle/>
          <a:p>
            <a:pPr/>
          </a:p>
        </xdr:txBody>
      </xdr:sp>
      <xdr:sp>
        <xdr:nvSpPr>
          <xdr:cNvPr id="199"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203" name="Abgerundetes Rechteck 91">
          <a:hlinkClick r:id="rId7" invalidUrl="" action="" tgtFrame="" tooltip="" history="1" highlightClick="0" endSnd="0"/>
        </xdr:cNvPr>
        <xdr:cNvGrpSpPr/>
      </xdr:nvGrpSpPr>
      <xdr:grpSpPr>
        <a:xfrm>
          <a:off x="4673600" y="200025"/>
          <a:ext cx="893651" cy="216000"/>
          <a:chOff x="0" y="0"/>
          <a:chExt cx="893650" cy="215999"/>
        </a:xfrm>
      </xdr:grpSpPr>
      <xdr:sp>
        <xdr:nvSpPr>
          <xdr:cNvPr id="201"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02"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206" name="Abgerundetes Rechteck 92">
          <a:hlinkClick r:id="rId8" invalidUrl="" action="" tgtFrame="" tooltip="" history="1" highlightClick="0" endSnd="0"/>
        </xdr:cNvPr>
        <xdr:cNvGrpSpPr/>
      </xdr:nvGrpSpPr>
      <xdr:grpSpPr>
        <a:xfrm>
          <a:off x="6565900" y="200025"/>
          <a:ext cx="893651" cy="216000"/>
          <a:chOff x="0" y="0"/>
          <a:chExt cx="893650" cy="215999"/>
        </a:xfrm>
      </xdr:grpSpPr>
      <xdr:sp>
        <xdr:nvSpPr>
          <xdr:cNvPr id="204"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05"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209" name="Abgerundetes Rechteck 93">
          <a:hlinkClick r:id="rId9" invalidUrl="" action="" tgtFrame="" tooltip="" history="1" highlightClick="0" endSnd="0"/>
        </xdr:cNvPr>
        <xdr:cNvGrpSpPr/>
      </xdr:nvGrpSpPr>
      <xdr:grpSpPr>
        <a:xfrm>
          <a:off x="5619750" y="200025"/>
          <a:ext cx="893651" cy="216000"/>
          <a:chOff x="0" y="0"/>
          <a:chExt cx="893650" cy="215999"/>
        </a:xfrm>
      </xdr:grpSpPr>
      <xdr:sp>
        <xdr:nvSpPr>
          <xdr:cNvPr id="207"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08"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279" name="Abgerundetes Rechteck 106">
          <a:hlinkClick r:id="rId1" invalidUrl="" action="" tgtFrame="" tooltip="" history="1" highlightClick="0" endSnd="0"/>
        </xdr:cNvPr>
        <xdr:cNvGrpSpPr/>
      </xdr:nvGrpSpPr>
      <xdr:grpSpPr>
        <a:xfrm>
          <a:off x="889000" y="200025"/>
          <a:ext cx="893650" cy="216000"/>
          <a:chOff x="0" y="0"/>
          <a:chExt cx="893649" cy="215999"/>
        </a:xfrm>
      </xdr:grpSpPr>
      <xdr:sp>
        <xdr:nvSpPr>
          <xdr:cNvPr id="277"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278"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282" name="Abgerundetes Rechteck 107">
          <a:hlinkClick r:id="rId2" invalidUrl="" action="" tgtFrame="" tooltip="" history="1" highlightClick="0" endSnd="0"/>
        </xdr:cNvPr>
        <xdr:cNvGrpSpPr/>
      </xdr:nvGrpSpPr>
      <xdr:grpSpPr>
        <a:xfrm>
          <a:off x="7512050" y="200025"/>
          <a:ext cx="893651" cy="216000"/>
          <a:chOff x="0" y="0"/>
          <a:chExt cx="893650" cy="215999"/>
        </a:xfrm>
      </xdr:grpSpPr>
      <xdr:sp>
        <xdr:nvSpPr>
          <xdr:cNvPr id="280"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281"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9524</xdr:colOff>
      <xdr:row>1</xdr:row>
      <xdr:rowOff>0</xdr:rowOff>
    </xdr:from>
    <xdr:to>
      <xdr:col>22</xdr:col>
      <xdr:colOff>14174</xdr:colOff>
      <xdr:row>2</xdr:row>
      <xdr:rowOff>15974</xdr:rowOff>
    </xdr:to>
    <xdr:grpSp>
      <xdr:nvGrpSpPr>
        <xdr:cNvPr id="285" name="Abgerundetes Rechteck 108">
          <a:hlinkClick r:id="rId3" invalidUrl="" action="" tgtFrame="" tooltip="" history="1" highlightClick="0" endSnd="0"/>
        </xdr:cNvPr>
        <xdr:cNvGrpSpPr/>
      </xdr:nvGrpSpPr>
      <xdr:grpSpPr>
        <a:xfrm>
          <a:off x="8455024" y="200025"/>
          <a:ext cx="893651" cy="216000"/>
          <a:chOff x="0" y="0"/>
          <a:chExt cx="893650" cy="215999"/>
        </a:xfrm>
      </xdr:grpSpPr>
      <xdr:sp>
        <xdr:nvSpPr>
          <xdr:cNvPr id="283"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284"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288" name="Abgerundetes Rechteck 109">
          <a:hlinkClick r:id="rId4" invalidUrl="" action="" tgtFrame="" tooltip="" history="1" highlightClick="0" endSnd="0"/>
        </xdr:cNvPr>
        <xdr:cNvGrpSpPr/>
      </xdr:nvGrpSpPr>
      <xdr:grpSpPr>
        <a:xfrm>
          <a:off x="1835150" y="200025"/>
          <a:ext cx="893650" cy="216000"/>
          <a:chOff x="0" y="0"/>
          <a:chExt cx="893649" cy="215999"/>
        </a:xfrm>
      </xdr:grpSpPr>
      <xdr:sp>
        <xdr:nvSpPr>
          <xdr:cNvPr id="286"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87"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291" name="Abgerundetes Rechteck 110">
          <a:hlinkClick r:id="rId5" invalidUrl="" action="" tgtFrame="" tooltip="" history="1" highlightClick="0" endSnd="0"/>
        </xdr:cNvPr>
        <xdr:cNvGrpSpPr/>
      </xdr:nvGrpSpPr>
      <xdr:grpSpPr>
        <a:xfrm>
          <a:off x="2781300" y="200025"/>
          <a:ext cx="893651" cy="216000"/>
          <a:chOff x="0" y="0"/>
          <a:chExt cx="893650" cy="215999"/>
        </a:xfrm>
      </xdr:grpSpPr>
      <xdr:sp>
        <xdr:nvSpPr>
          <xdr:cNvPr id="289"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90"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294" name="Abgerundetes Rechteck 111">
          <a:hlinkClick r:id="rId6" invalidUrl="" action="" tgtFrame="" tooltip="" history="1" highlightClick="0" endSnd="0"/>
        </xdr:cNvPr>
        <xdr:cNvGrpSpPr/>
      </xdr:nvGrpSpPr>
      <xdr:grpSpPr>
        <a:xfrm>
          <a:off x="3727450" y="200025"/>
          <a:ext cx="893651" cy="216000"/>
          <a:chOff x="0" y="0"/>
          <a:chExt cx="893650" cy="215999"/>
        </a:xfrm>
      </xdr:grpSpPr>
      <xdr:sp>
        <xdr:nvSpPr>
          <xdr:cNvPr id="292"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93"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297" name="Abgerundetes Rechteck 112">
          <a:hlinkClick r:id="rId7" invalidUrl="" action="" tgtFrame="" tooltip="" history="1" highlightClick="0" endSnd="0"/>
        </xdr:cNvPr>
        <xdr:cNvGrpSpPr/>
      </xdr:nvGrpSpPr>
      <xdr:grpSpPr>
        <a:xfrm>
          <a:off x="4673600" y="200025"/>
          <a:ext cx="893651" cy="216000"/>
          <a:chOff x="0" y="0"/>
          <a:chExt cx="893650" cy="215999"/>
        </a:xfrm>
      </xdr:grpSpPr>
      <xdr:sp>
        <xdr:nvSpPr>
          <xdr:cNvPr id="295" name="Abgerundetes Rechteck"/>
          <xdr:cNvSpPr/>
        </xdr:nvSpPr>
        <xdr:spPr>
          <a:xfrm>
            <a:off x="0" y="0"/>
            <a:ext cx="893651" cy="216000"/>
          </a:xfrm>
          <a:prstGeom prst="roundRect">
            <a:avLst>
              <a:gd name="adj" fmla="val 16667"/>
            </a:avLst>
          </a:prstGeom>
          <a:solidFill>
            <a:srgbClr val="AACE22"/>
          </a:solidFill>
          <a:ln w="19050" cap="flat">
            <a:solidFill>
              <a:srgbClr val="008000"/>
            </a:solidFill>
            <a:prstDash val="solid"/>
            <a:round/>
          </a:ln>
          <a:effectLst/>
        </xdr:spPr>
        <xdr:txBody>
          <a:bodyPr/>
          <a:lstStyle/>
          <a:p>
            <a:pPr/>
          </a:p>
        </xdr:txBody>
      </xdr:sp>
      <xdr:sp>
        <xdr:nvSpPr>
          <xdr:cNvPr id="296"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300" name="Abgerundetes Rechteck 113">
          <a:hlinkClick r:id="rId8" invalidUrl="" action="" tgtFrame="" tooltip="" history="1" highlightClick="0" endSnd="0"/>
        </xdr:cNvPr>
        <xdr:cNvGrpSpPr/>
      </xdr:nvGrpSpPr>
      <xdr:grpSpPr>
        <a:xfrm>
          <a:off x="6565900" y="200025"/>
          <a:ext cx="893651" cy="216000"/>
          <a:chOff x="0" y="0"/>
          <a:chExt cx="893650" cy="215999"/>
        </a:xfrm>
      </xdr:grpSpPr>
      <xdr:sp>
        <xdr:nvSpPr>
          <xdr:cNvPr id="298"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299"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303" name="Abgerundetes Rechteck 114">
          <a:hlinkClick r:id="rId9" invalidUrl="" action="" tgtFrame="" tooltip="" history="1" highlightClick="0" endSnd="0"/>
        </xdr:cNvPr>
        <xdr:cNvGrpSpPr/>
      </xdr:nvGrpSpPr>
      <xdr:grpSpPr>
        <a:xfrm>
          <a:off x="5619750" y="200025"/>
          <a:ext cx="893651" cy="216000"/>
          <a:chOff x="0" y="0"/>
          <a:chExt cx="893650" cy="215999"/>
        </a:xfrm>
      </xdr:grpSpPr>
      <xdr:sp>
        <xdr:nvSpPr>
          <xdr:cNvPr id="301"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02"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328" name="Abgerundetes Rechteck 81">
          <a:hlinkClick r:id="rId1" invalidUrl="" action="" tgtFrame="" tooltip="" history="1" highlightClick="0" endSnd="0"/>
        </xdr:cNvPr>
        <xdr:cNvGrpSpPr/>
      </xdr:nvGrpSpPr>
      <xdr:grpSpPr>
        <a:xfrm>
          <a:off x="889000" y="200025"/>
          <a:ext cx="893650" cy="216000"/>
          <a:chOff x="0" y="0"/>
          <a:chExt cx="893649" cy="215999"/>
        </a:xfrm>
      </xdr:grpSpPr>
      <xdr:sp>
        <xdr:nvSpPr>
          <xdr:cNvPr id="326"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327"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331" name="Abgerundetes Rechteck 82">
          <a:hlinkClick r:id="rId2" invalidUrl="" action="" tgtFrame="" tooltip="" history="1" highlightClick="0" endSnd="0"/>
        </xdr:cNvPr>
        <xdr:cNvGrpSpPr/>
      </xdr:nvGrpSpPr>
      <xdr:grpSpPr>
        <a:xfrm>
          <a:off x="7512050" y="200025"/>
          <a:ext cx="893651" cy="216000"/>
          <a:chOff x="0" y="0"/>
          <a:chExt cx="893650" cy="215999"/>
        </a:xfrm>
      </xdr:grpSpPr>
      <xdr:sp>
        <xdr:nvSpPr>
          <xdr:cNvPr id="329"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330"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9524</xdr:colOff>
      <xdr:row>1</xdr:row>
      <xdr:rowOff>0</xdr:rowOff>
    </xdr:from>
    <xdr:to>
      <xdr:col>24</xdr:col>
      <xdr:colOff>14174</xdr:colOff>
      <xdr:row>2</xdr:row>
      <xdr:rowOff>15974</xdr:rowOff>
    </xdr:to>
    <xdr:grpSp>
      <xdr:nvGrpSpPr>
        <xdr:cNvPr id="334" name="Abgerundetes Rechteck 83">
          <a:hlinkClick r:id="rId3" invalidUrl="" action="" tgtFrame="" tooltip="" history="1" highlightClick="0" endSnd="0"/>
        </xdr:cNvPr>
        <xdr:cNvGrpSpPr/>
      </xdr:nvGrpSpPr>
      <xdr:grpSpPr>
        <a:xfrm>
          <a:off x="8455024" y="200025"/>
          <a:ext cx="893651" cy="216000"/>
          <a:chOff x="0" y="0"/>
          <a:chExt cx="893650" cy="215999"/>
        </a:xfrm>
      </xdr:grpSpPr>
      <xdr:sp>
        <xdr:nvSpPr>
          <xdr:cNvPr id="332"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333"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337" name="Abgerundetes Rechteck 84">
          <a:hlinkClick r:id="rId4" invalidUrl="" action="" tgtFrame="" tooltip="" history="1" highlightClick="0" endSnd="0"/>
        </xdr:cNvPr>
        <xdr:cNvGrpSpPr/>
      </xdr:nvGrpSpPr>
      <xdr:grpSpPr>
        <a:xfrm>
          <a:off x="1835150" y="200025"/>
          <a:ext cx="893650" cy="216000"/>
          <a:chOff x="0" y="0"/>
          <a:chExt cx="893649" cy="215999"/>
        </a:xfrm>
      </xdr:grpSpPr>
      <xdr:sp>
        <xdr:nvSpPr>
          <xdr:cNvPr id="335"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36"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340" name="Abgerundetes Rechteck 85">
          <a:hlinkClick r:id="rId5" invalidUrl="" action="" tgtFrame="" tooltip="" history="1" highlightClick="0" endSnd="0"/>
        </xdr:cNvPr>
        <xdr:cNvGrpSpPr/>
      </xdr:nvGrpSpPr>
      <xdr:grpSpPr>
        <a:xfrm>
          <a:off x="2781300" y="200025"/>
          <a:ext cx="893651" cy="216000"/>
          <a:chOff x="0" y="0"/>
          <a:chExt cx="893650" cy="215999"/>
        </a:xfrm>
      </xdr:grpSpPr>
      <xdr:sp>
        <xdr:nvSpPr>
          <xdr:cNvPr id="338"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39"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343" name="Abgerundetes Rechteck 86">
          <a:hlinkClick r:id="rId6" invalidUrl="" action="" tgtFrame="" tooltip="" history="1" highlightClick="0" endSnd="0"/>
        </xdr:cNvPr>
        <xdr:cNvGrpSpPr/>
      </xdr:nvGrpSpPr>
      <xdr:grpSpPr>
        <a:xfrm>
          <a:off x="3727450" y="200025"/>
          <a:ext cx="893651" cy="216000"/>
          <a:chOff x="0" y="0"/>
          <a:chExt cx="893650" cy="215999"/>
        </a:xfrm>
      </xdr:grpSpPr>
      <xdr:sp>
        <xdr:nvSpPr>
          <xdr:cNvPr id="341"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42"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346" name="Abgerundetes Rechteck 87">
          <a:hlinkClick r:id="rId7" invalidUrl="" action="" tgtFrame="" tooltip="" history="1" highlightClick="0" endSnd="0"/>
        </xdr:cNvPr>
        <xdr:cNvGrpSpPr/>
      </xdr:nvGrpSpPr>
      <xdr:grpSpPr>
        <a:xfrm>
          <a:off x="4673600" y="200025"/>
          <a:ext cx="893651" cy="216000"/>
          <a:chOff x="0" y="0"/>
          <a:chExt cx="893650" cy="215999"/>
        </a:xfrm>
      </xdr:grpSpPr>
      <xdr:sp>
        <xdr:nvSpPr>
          <xdr:cNvPr id="344"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45"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349" name="Abgerundetes Rechteck 88">
          <a:hlinkClick r:id="rId8" invalidUrl="" action="" tgtFrame="" tooltip="" history="1" highlightClick="0" endSnd="0"/>
        </xdr:cNvPr>
        <xdr:cNvGrpSpPr/>
      </xdr:nvGrpSpPr>
      <xdr:grpSpPr>
        <a:xfrm>
          <a:off x="6565900" y="200025"/>
          <a:ext cx="893651" cy="216000"/>
          <a:chOff x="0" y="0"/>
          <a:chExt cx="893650" cy="215999"/>
        </a:xfrm>
      </xdr:grpSpPr>
      <xdr:sp>
        <xdr:nvSpPr>
          <xdr:cNvPr id="347"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48"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352" name="Abgerundetes Rechteck 89">
          <a:hlinkClick r:id="rId9" invalidUrl="" action="" tgtFrame="" tooltip="" history="1" highlightClick="0" endSnd="0"/>
        </xdr:cNvPr>
        <xdr:cNvGrpSpPr/>
      </xdr:nvGrpSpPr>
      <xdr:grpSpPr>
        <a:xfrm>
          <a:off x="5619750" y="200025"/>
          <a:ext cx="893651" cy="216000"/>
          <a:chOff x="0" y="0"/>
          <a:chExt cx="893650" cy="215999"/>
        </a:xfrm>
      </xdr:grpSpPr>
      <xdr:sp>
        <xdr:nvSpPr>
          <xdr:cNvPr id="350" name="Abgerundetes Rechteck"/>
          <xdr:cNvSpPr/>
        </xdr:nvSpPr>
        <xdr:spPr>
          <a:xfrm>
            <a:off x="0" y="0"/>
            <a:ext cx="893651" cy="216000"/>
          </a:xfrm>
          <a:prstGeom prst="roundRect">
            <a:avLst>
              <a:gd name="adj" fmla="val 16667"/>
            </a:avLst>
          </a:prstGeom>
          <a:solidFill>
            <a:srgbClr val="AACE22"/>
          </a:solidFill>
          <a:ln w="19050" cap="flat">
            <a:solidFill>
              <a:srgbClr val="008000"/>
            </a:solidFill>
            <a:prstDash val="solid"/>
            <a:round/>
          </a:ln>
          <a:effectLst/>
        </xdr:spPr>
        <xdr:txBody>
          <a:bodyPr/>
          <a:lstStyle/>
          <a:p>
            <a:pPr/>
          </a:p>
        </xdr:txBody>
      </xdr:sp>
      <xdr:sp>
        <xdr:nvSpPr>
          <xdr:cNvPr id="351"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387" name="Abgerundetes Rechteck 76">
          <a:hlinkClick r:id="rId1" invalidUrl="" action="" tgtFrame="" tooltip="" history="1" highlightClick="0" endSnd="0"/>
        </xdr:cNvPr>
        <xdr:cNvGrpSpPr/>
      </xdr:nvGrpSpPr>
      <xdr:grpSpPr>
        <a:xfrm>
          <a:off x="889000" y="200025"/>
          <a:ext cx="893650" cy="216000"/>
          <a:chOff x="0" y="0"/>
          <a:chExt cx="893649" cy="215999"/>
        </a:xfrm>
      </xdr:grpSpPr>
      <xdr:sp>
        <xdr:nvSpPr>
          <xdr:cNvPr id="385"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386"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390" name="Abgerundetes Rechteck 77">
          <a:hlinkClick r:id="rId2" invalidUrl="" action="" tgtFrame="" tooltip="" history="1" highlightClick="0" endSnd="0"/>
        </xdr:cNvPr>
        <xdr:cNvGrpSpPr/>
      </xdr:nvGrpSpPr>
      <xdr:grpSpPr>
        <a:xfrm>
          <a:off x="7512050" y="200025"/>
          <a:ext cx="893651" cy="216000"/>
          <a:chOff x="0" y="0"/>
          <a:chExt cx="893650" cy="215999"/>
        </a:xfrm>
      </xdr:grpSpPr>
      <xdr:sp>
        <xdr:nvSpPr>
          <xdr:cNvPr id="388"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389"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9524</xdr:colOff>
      <xdr:row>1</xdr:row>
      <xdr:rowOff>0</xdr:rowOff>
    </xdr:from>
    <xdr:to>
      <xdr:col>22</xdr:col>
      <xdr:colOff>14174</xdr:colOff>
      <xdr:row>2</xdr:row>
      <xdr:rowOff>15974</xdr:rowOff>
    </xdr:to>
    <xdr:grpSp>
      <xdr:nvGrpSpPr>
        <xdr:cNvPr id="393" name="Abgerundetes Rechteck 78">
          <a:hlinkClick r:id="rId3" invalidUrl="" action="" tgtFrame="" tooltip="" history="1" highlightClick="0" endSnd="0"/>
        </xdr:cNvPr>
        <xdr:cNvGrpSpPr/>
      </xdr:nvGrpSpPr>
      <xdr:grpSpPr>
        <a:xfrm>
          <a:off x="8455024" y="200025"/>
          <a:ext cx="893651" cy="216000"/>
          <a:chOff x="0" y="0"/>
          <a:chExt cx="893650" cy="215999"/>
        </a:xfrm>
      </xdr:grpSpPr>
      <xdr:sp>
        <xdr:nvSpPr>
          <xdr:cNvPr id="391"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392"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396" name="Abgerundetes Rechteck 79">
          <a:hlinkClick r:id="rId4" invalidUrl="" action="" tgtFrame="" tooltip="" history="1" highlightClick="0" endSnd="0"/>
        </xdr:cNvPr>
        <xdr:cNvGrpSpPr/>
      </xdr:nvGrpSpPr>
      <xdr:grpSpPr>
        <a:xfrm>
          <a:off x="1835150" y="200025"/>
          <a:ext cx="893650" cy="216000"/>
          <a:chOff x="0" y="0"/>
          <a:chExt cx="893649" cy="215999"/>
        </a:xfrm>
      </xdr:grpSpPr>
      <xdr:sp>
        <xdr:nvSpPr>
          <xdr:cNvPr id="394"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95"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399" name="Abgerundetes Rechteck 80">
          <a:hlinkClick r:id="rId5" invalidUrl="" action="" tgtFrame="" tooltip="" history="1" highlightClick="0" endSnd="0"/>
        </xdr:cNvPr>
        <xdr:cNvGrpSpPr/>
      </xdr:nvGrpSpPr>
      <xdr:grpSpPr>
        <a:xfrm>
          <a:off x="2781300" y="200025"/>
          <a:ext cx="893651" cy="216000"/>
          <a:chOff x="0" y="0"/>
          <a:chExt cx="893650" cy="215999"/>
        </a:xfrm>
      </xdr:grpSpPr>
      <xdr:sp>
        <xdr:nvSpPr>
          <xdr:cNvPr id="397"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398"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402" name="Abgerundetes Rechteck 81">
          <a:hlinkClick r:id="rId6" invalidUrl="" action="" tgtFrame="" tooltip="" history="1" highlightClick="0" endSnd="0"/>
        </xdr:cNvPr>
        <xdr:cNvGrpSpPr/>
      </xdr:nvGrpSpPr>
      <xdr:grpSpPr>
        <a:xfrm>
          <a:off x="3727450" y="200025"/>
          <a:ext cx="893651" cy="216000"/>
          <a:chOff x="0" y="0"/>
          <a:chExt cx="893650" cy="215999"/>
        </a:xfrm>
      </xdr:grpSpPr>
      <xdr:sp>
        <xdr:nvSpPr>
          <xdr:cNvPr id="400"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01"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405" name="Abgerundetes Rechteck 82">
          <a:hlinkClick r:id="rId7" invalidUrl="" action="" tgtFrame="" tooltip="" history="1" highlightClick="0" endSnd="0"/>
        </xdr:cNvPr>
        <xdr:cNvGrpSpPr/>
      </xdr:nvGrpSpPr>
      <xdr:grpSpPr>
        <a:xfrm>
          <a:off x="4673600" y="200025"/>
          <a:ext cx="893651" cy="216000"/>
          <a:chOff x="0" y="0"/>
          <a:chExt cx="893650" cy="215999"/>
        </a:xfrm>
      </xdr:grpSpPr>
      <xdr:sp>
        <xdr:nvSpPr>
          <xdr:cNvPr id="403"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04"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408" name="Abgerundetes Rechteck 83">
          <a:hlinkClick r:id="rId8" invalidUrl="" action="" tgtFrame="" tooltip="" history="1" highlightClick="0" endSnd="0"/>
        </xdr:cNvPr>
        <xdr:cNvGrpSpPr/>
      </xdr:nvGrpSpPr>
      <xdr:grpSpPr>
        <a:xfrm>
          <a:off x="6565900" y="200025"/>
          <a:ext cx="893651" cy="216000"/>
          <a:chOff x="0" y="0"/>
          <a:chExt cx="893650" cy="215999"/>
        </a:xfrm>
      </xdr:grpSpPr>
      <xdr:sp>
        <xdr:nvSpPr>
          <xdr:cNvPr id="406" name="Abgerundetes Rechteck"/>
          <xdr:cNvSpPr/>
        </xdr:nvSpPr>
        <xdr:spPr>
          <a:xfrm>
            <a:off x="0" y="0"/>
            <a:ext cx="893651" cy="216000"/>
          </a:xfrm>
          <a:prstGeom prst="roundRect">
            <a:avLst>
              <a:gd name="adj" fmla="val 16667"/>
            </a:avLst>
          </a:prstGeom>
          <a:solidFill>
            <a:srgbClr val="AACE22"/>
          </a:solidFill>
          <a:ln w="19050" cap="flat">
            <a:solidFill>
              <a:srgbClr val="008000"/>
            </a:solidFill>
            <a:prstDash val="solid"/>
            <a:round/>
          </a:ln>
          <a:effectLst/>
        </xdr:spPr>
        <xdr:txBody>
          <a:bodyPr/>
          <a:lstStyle/>
          <a:p>
            <a:pPr/>
          </a:p>
        </xdr:txBody>
      </xdr:sp>
      <xdr:sp>
        <xdr:nvSpPr>
          <xdr:cNvPr id="407"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411" name="Abgerundetes Rechteck 84">
          <a:hlinkClick r:id="rId9" invalidUrl="" action="" tgtFrame="" tooltip="" history="1" highlightClick="0" endSnd="0"/>
        </xdr:cNvPr>
        <xdr:cNvGrpSpPr/>
      </xdr:nvGrpSpPr>
      <xdr:grpSpPr>
        <a:xfrm>
          <a:off x="5619750" y="200025"/>
          <a:ext cx="893651" cy="216000"/>
          <a:chOff x="0" y="0"/>
          <a:chExt cx="893650" cy="215999"/>
        </a:xfrm>
      </xdr:grpSpPr>
      <xdr:sp>
        <xdr:nvSpPr>
          <xdr:cNvPr id="409"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10"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422" name="Abgerundetes Rechteck 37">
          <a:hlinkClick r:id="rId1" invalidUrl="" action="" tgtFrame="" tooltip="" history="1" highlightClick="0" endSnd="0"/>
        </xdr:cNvPr>
        <xdr:cNvGrpSpPr/>
      </xdr:nvGrpSpPr>
      <xdr:grpSpPr>
        <a:xfrm>
          <a:off x="889000" y="200025"/>
          <a:ext cx="893650" cy="216000"/>
          <a:chOff x="0" y="0"/>
          <a:chExt cx="893649" cy="215999"/>
        </a:xfrm>
      </xdr:grpSpPr>
      <xdr:sp>
        <xdr:nvSpPr>
          <xdr:cNvPr id="420"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421"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425" name="Abgerundetes Rechteck 38">
          <a:hlinkClick r:id="rId2" invalidUrl="" action="" tgtFrame="" tooltip="" history="1" highlightClick="0" endSnd="0"/>
        </xdr:cNvPr>
        <xdr:cNvGrpSpPr/>
      </xdr:nvGrpSpPr>
      <xdr:grpSpPr>
        <a:xfrm>
          <a:off x="7512050" y="200025"/>
          <a:ext cx="893651" cy="216000"/>
          <a:chOff x="0" y="0"/>
          <a:chExt cx="893650" cy="215999"/>
        </a:xfrm>
      </xdr:grpSpPr>
      <xdr:sp>
        <xdr:nvSpPr>
          <xdr:cNvPr id="423" name="Abgerundetes Rechteck"/>
          <xdr:cNvSpPr/>
        </xdr:nvSpPr>
        <xdr:spPr>
          <a:xfrm>
            <a:off x="0" y="0"/>
            <a:ext cx="893651" cy="216000"/>
          </a:xfrm>
          <a:prstGeom prst="roundRect">
            <a:avLst>
              <a:gd name="adj" fmla="val 16667"/>
            </a:avLst>
          </a:prstGeom>
          <a:solidFill>
            <a:srgbClr val="1083D0"/>
          </a:solidFill>
          <a:ln w="19050" cap="flat">
            <a:solidFill>
              <a:srgbClr val="0070C0"/>
            </a:solidFill>
            <a:prstDash val="solid"/>
            <a:round/>
          </a:ln>
          <a:effectLst/>
        </xdr:spPr>
        <xdr:txBody>
          <a:bodyPr/>
          <a:lstStyle/>
          <a:p>
            <a:pPr/>
          </a:p>
        </xdr:txBody>
      </xdr:sp>
      <xdr:sp>
        <xdr:nvSpPr>
          <xdr:cNvPr id="424"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9525</xdr:colOff>
      <xdr:row>1</xdr:row>
      <xdr:rowOff>0</xdr:rowOff>
    </xdr:from>
    <xdr:to>
      <xdr:col>21</xdr:col>
      <xdr:colOff>14175</xdr:colOff>
      <xdr:row>2</xdr:row>
      <xdr:rowOff>15974</xdr:rowOff>
    </xdr:to>
    <xdr:grpSp>
      <xdr:nvGrpSpPr>
        <xdr:cNvPr id="428" name="Abgerundetes Rechteck 39">
          <a:hlinkClick r:id="rId3" invalidUrl="" action="" tgtFrame="" tooltip="" history="1" highlightClick="0" endSnd="0"/>
        </xdr:cNvPr>
        <xdr:cNvGrpSpPr/>
      </xdr:nvGrpSpPr>
      <xdr:grpSpPr>
        <a:xfrm>
          <a:off x="8455025" y="200025"/>
          <a:ext cx="893651" cy="216000"/>
          <a:chOff x="0" y="0"/>
          <a:chExt cx="893650" cy="215999"/>
        </a:xfrm>
      </xdr:grpSpPr>
      <xdr:sp>
        <xdr:nvSpPr>
          <xdr:cNvPr id="426"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427"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431" name="Abgerundetes Rechteck 40">
          <a:hlinkClick r:id="rId4" invalidUrl="" action="" tgtFrame="" tooltip="" history="1" highlightClick="0" endSnd="0"/>
        </xdr:cNvPr>
        <xdr:cNvGrpSpPr/>
      </xdr:nvGrpSpPr>
      <xdr:grpSpPr>
        <a:xfrm>
          <a:off x="1835150" y="200025"/>
          <a:ext cx="893650" cy="216000"/>
          <a:chOff x="0" y="0"/>
          <a:chExt cx="893649" cy="215999"/>
        </a:xfrm>
      </xdr:grpSpPr>
      <xdr:sp>
        <xdr:nvSpPr>
          <xdr:cNvPr id="429"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30"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434" name="Abgerundetes Rechteck 41">
          <a:hlinkClick r:id="rId5" invalidUrl="" action="" tgtFrame="" tooltip="" history="1" highlightClick="0" endSnd="0"/>
        </xdr:cNvPr>
        <xdr:cNvGrpSpPr/>
      </xdr:nvGrpSpPr>
      <xdr:grpSpPr>
        <a:xfrm>
          <a:off x="2781300" y="200025"/>
          <a:ext cx="893651" cy="216000"/>
          <a:chOff x="0" y="0"/>
          <a:chExt cx="893650" cy="215999"/>
        </a:xfrm>
      </xdr:grpSpPr>
      <xdr:sp>
        <xdr:nvSpPr>
          <xdr:cNvPr id="432"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33"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437" name="Abgerundetes Rechteck 42">
          <a:hlinkClick r:id="rId6" invalidUrl="" action="" tgtFrame="" tooltip="" history="1" highlightClick="0" endSnd="0"/>
        </xdr:cNvPr>
        <xdr:cNvGrpSpPr/>
      </xdr:nvGrpSpPr>
      <xdr:grpSpPr>
        <a:xfrm>
          <a:off x="3727450" y="200025"/>
          <a:ext cx="893651" cy="216000"/>
          <a:chOff x="0" y="0"/>
          <a:chExt cx="893650" cy="215999"/>
        </a:xfrm>
      </xdr:grpSpPr>
      <xdr:sp>
        <xdr:nvSpPr>
          <xdr:cNvPr id="435"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36"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440" name="Abgerundetes Rechteck 43">
          <a:hlinkClick r:id="rId7" invalidUrl="" action="" tgtFrame="" tooltip="" history="1" highlightClick="0" endSnd="0"/>
        </xdr:cNvPr>
        <xdr:cNvGrpSpPr/>
      </xdr:nvGrpSpPr>
      <xdr:grpSpPr>
        <a:xfrm>
          <a:off x="4673600" y="200025"/>
          <a:ext cx="893651" cy="216000"/>
          <a:chOff x="0" y="0"/>
          <a:chExt cx="893650" cy="215999"/>
        </a:xfrm>
      </xdr:grpSpPr>
      <xdr:sp>
        <xdr:nvSpPr>
          <xdr:cNvPr id="438"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39"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443" name="Abgerundetes Rechteck 44">
          <a:hlinkClick r:id="rId8" invalidUrl="" action="" tgtFrame="" tooltip="" history="1" highlightClick="0" endSnd="0"/>
        </xdr:cNvPr>
        <xdr:cNvGrpSpPr/>
      </xdr:nvGrpSpPr>
      <xdr:grpSpPr>
        <a:xfrm>
          <a:off x="6565900" y="200025"/>
          <a:ext cx="893651" cy="216000"/>
          <a:chOff x="0" y="0"/>
          <a:chExt cx="893650" cy="215999"/>
        </a:xfrm>
      </xdr:grpSpPr>
      <xdr:sp>
        <xdr:nvSpPr>
          <xdr:cNvPr id="441"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42"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446" name="Abgerundetes Rechteck 45">
          <a:hlinkClick r:id="rId9" invalidUrl="" action="" tgtFrame="" tooltip="" history="1" highlightClick="0" endSnd="0"/>
        </xdr:cNvPr>
        <xdr:cNvGrpSpPr/>
      </xdr:nvGrpSpPr>
      <xdr:grpSpPr>
        <a:xfrm>
          <a:off x="5619750" y="200025"/>
          <a:ext cx="893651" cy="216000"/>
          <a:chOff x="0" y="0"/>
          <a:chExt cx="893650" cy="215999"/>
        </a:xfrm>
      </xdr:grpSpPr>
      <xdr:sp>
        <xdr:nvSpPr>
          <xdr:cNvPr id="444"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45"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1</xdr:row>
      <xdr:rowOff>0</xdr:rowOff>
    </xdr:from>
    <xdr:to>
      <xdr:col>4</xdr:col>
      <xdr:colOff>4649</xdr:colOff>
      <xdr:row>2</xdr:row>
      <xdr:rowOff>15974</xdr:rowOff>
    </xdr:to>
    <xdr:grpSp>
      <xdr:nvGrpSpPr>
        <xdr:cNvPr id="450" name="Abgerundetes Rechteck 160">
          <a:hlinkClick r:id="rId1" invalidUrl="" action="" tgtFrame="" tooltip="" history="1" highlightClick="0" endSnd="0"/>
        </xdr:cNvPr>
        <xdr:cNvGrpSpPr/>
      </xdr:nvGrpSpPr>
      <xdr:grpSpPr>
        <a:xfrm>
          <a:off x="889000" y="200025"/>
          <a:ext cx="893650" cy="216000"/>
          <a:chOff x="0" y="0"/>
          <a:chExt cx="893649" cy="215999"/>
        </a:xfrm>
      </xdr:grpSpPr>
      <xdr:sp>
        <xdr:nvSpPr>
          <xdr:cNvPr id="448" name="Abgerundetes Rechteck"/>
          <xdr:cNvSpPr/>
        </xdr:nvSpPr>
        <xdr:spPr>
          <a:xfrm>
            <a:off x="0" y="0"/>
            <a:ext cx="893650"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449" name="Kapitel 1 - 3"/>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1 - 3</a:t>
            </a:r>
          </a:p>
        </xdr:txBody>
      </xdr:sp>
    </xdr:grpSp>
    <xdr:clientData/>
  </xdr:twoCellAnchor>
  <xdr:twoCellAnchor>
    <xdr:from>
      <xdr:col>16</xdr:col>
      <xdr:colOff>400050</xdr:colOff>
      <xdr:row>1</xdr:row>
      <xdr:rowOff>0</xdr:rowOff>
    </xdr:from>
    <xdr:to>
      <xdr:col>18</xdr:col>
      <xdr:colOff>404700</xdr:colOff>
      <xdr:row>2</xdr:row>
      <xdr:rowOff>15974</xdr:rowOff>
    </xdr:to>
    <xdr:grpSp>
      <xdr:nvGrpSpPr>
        <xdr:cNvPr id="453" name="Abgerundetes Rechteck 161">
          <a:hlinkClick r:id="rId2" invalidUrl="" action="" tgtFrame="" tooltip="" history="1" highlightClick="0" endSnd="0"/>
        </xdr:cNvPr>
        <xdr:cNvGrpSpPr/>
      </xdr:nvGrpSpPr>
      <xdr:grpSpPr>
        <a:xfrm>
          <a:off x="7512050" y="200025"/>
          <a:ext cx="893651" cy="216000"/>
          <a:chOff x="0" y="0"/>
          <a:chExt cx="893650" cy="215999"/>
        </a:xfrm>
      </xdr:grpSpPr>
      <xdr:sp>
        <xdr:nvSpPr>
          <xdr:cNvPr id="451" name="Abgerundetes Rechteck"/>
          <xdr:cNvSpPr/>
        </xdr:nvSpPr>
        <xdr:spPr>
          <a:xfrm>
            <a:off x="0" y="0"/>
            <a:ext cx="893651" cy="216000"/>
          </a:xfrm>
          <a:prstGeom prst="roundRect">
            <a:avLst>
              <a:gd name="adj" fmla="val 16667"/>
            </a:avLst>
          </a:prstGeom>
          <a:solidFill>
            <a:srgbClr val="DCE6F2"/>
          </a:solidFill>
          <a:ln w="19050" cap="flat">
            <a:solidFill>
              <a:srgbClr val="0070C0"/>
            </a:solidFill>
            <a:prstDash val="solid"/>
            <a:round/>
          </a:ln>
          <a:effectLst/>
        </xdr:spPr>
        <xdr:txBody>
          <a:bodyPr/>
          <a:lstStyle/>
          <a:p>
            <a:pPr/>
          </a:p>
        </xdr:txBody>
      </xdr:sp>
      <xdr:sp>
        <xdr:nvSpPr>
          <xdr:cNvPr id="452" name="Kapite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5 </a:t>
            </a:r>
          </a:p>
        </xdr:txBody>
      </xdr:sp>
    </xdr:grpSp>
    <xdr:clientData/>
  </xdr:twoCellAnchor>
  <xdr:twoCellAnchor>
    <xdr:from>
      <xdr:col>19</xdr:col>
      <xdr:colOff>9525</xdr:colOff>
      <xdr:row>1</xdr:row>
      <xdr:rowOff>0</xdr:rowOff>
    </xdr:from>
    <xdr:to>
      <xdr:col>21</xdr:col>
      <xdr:colOff>14175</xdr:colOff>
      <xdr:row>2</xdr:row>
      <xdr:rowOff>15974</xdr:rowOff>
    </xdr:to>
    <xdr:grpSp>
      <xdr:nvGrpSpPr>
        <xdr:cNvPr id="456" name="Abgerundetes Rechteck 162">
          <a:hlinkClick r:id="rId3" invalidUrl="" action="" tgtFrame="" tooltip="" history="1" highlightClick="0" endSnd="0"/>
        </xdr:cNvPr>
        <xdr:cNvGrpSpPr/>
      </xdr:nvGrpSpPr>
      <xdr:grpSpPr>
        <a:xfrm>
          <a:off x="8455025" y="200025"/>
          <a:ext cx="893651" cy="216000"/>
          <a:chOff x="0" y="0"/>
          <a:chExt cx="893650" cy="215999"/>
        </a:xfrm>
      </xdr:grpSpPr>
      <xdr:sp>
        <xdr:nvSpPr>
          <xdr:cNvPr id="454" name="Abgerundetes Rechteck"/>
          <xdr:cNvSpPr/>
        </xdr:nvSpPr>
        <xdr:spPr>
          <a:xfrm>
            <a:off x="0" y="0"/>
            <a:ext cx="893651" cy="216000"/>
          </a:xfrm>
          <a:prstGeom prst="roundRect">
            <a:avLst>
              <a:gd name="adj" fmla="val 16667"/>
            </a:avLst>
          </a:prstGeom>
          <a:solidFill>
            <a:srgbClr val="1083D0"/>
          </a:solidFill>
          <a:ln w="19050" cap="flat">
            <a:solidFill>
              <a:srgbClr val="0070C0"/>
            </a:solidFill>
            <a:prstDash val="solid"/>
            <a:round/>
          </a:ln>
          <a:effectLst/>
        </xdr:spPr>
        <xdr:txBody>
          <a:bodyPr/>
          <a:lstStyle/>
          <a:p>
            <a:pPr/>
          </a:p>
        </xdr:txBody>
      </xdr:sp>
      <xdr:sp>
        <xdr:nvSpPr>
          <xdr:cNvPr id="455" name="Kapitel 6 - 9"/>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Kapitel 6 - 9</a:t>
            </a:r>
          </a:p>
        </xdr:txBody>
      </xdr:sp>
    </xdr:grpSp>
    <xdr:clientData/>
  </xdr:twoCellAnchor>
  <xdr:twoCellAnchor>
    <xdr:from>
      <xdr:col>4</xdr:col>
      <xdr:colOff>57150</xdr:colOff>
      <xdr:row>1</xdr:row>
      <xdr:rowOff>0</xdr:rowOff>
    </xdr:from>
    <xdr:to>
      <xdr:col>6</xdr:col>
      <xdr:colOff>61799</xdr:colOff>
      <xdr:row>2</xdr:row>
      <xdr:rowOff>15974</xdr:rowOff>
    </xdr:to>
    <xdr:grpSp>
      <xdr:nvGrpSpPr>
        <xdr:cNvPr id="459" name="Abgerundetes Rechteck 163">
          <a:hlinkClick r:id="rId4" invalidUrl="" action="" tgtFrame="" tooltip="" history="1" highlightClick="0" endSnd="0"/>
        </xdr:cNvPr>
        <xdr:cNvGrpSpPr/>
      </xdr:nvGrpSpPr>
      <xdr:grpSpPr>
        <a:xfrm>
          <a:off x="1835150" y="200025"/>
          <a:ext cx="893650" cy="216000"/>
          <a:chOff x="0" y="0"/>
          <a:chExt cx="893649" cy="215999"/>
        </a:xfrm>
      </xdr:grpSpPr>
      <xdr:sp>
        <xdr:nvSpPr>
          <xdr:cNvPr id="457" name="Abgerundetes Rechteck"/>
          <xdr:cNvSpPr/>
        </xdr:nvSpPr>
        <xdr:spPr>
          <a:xfrm>
            <a:off x="0" y="0"/>
            <a:ext cx="893650"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58" name="Modul 1"/>
          <xdr:cNvSpPr txBox="1"/>
        </xdr:nvSpPr>
        <xdr:spPr>
          <a:xfrm>
            <a:off x="46739" y="6879"/>
            <a:ext cx="800171"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1</a:t>
            </a:r>
          </a:p>
        </xdr:txBody>
      </xdr:sp>
    </xdr:grpSp>
    <xdr:clientData/>
  </xdr:twoCellAnchor>
  <xdr:twoCellAnchor>
    <xdr:from>
      <xdr:col>6</xdr:col>
      <xdr:colOff>114300</xdr:colOff>
      <xdr:row>1</xdr:row>
      <xdr:rowOff>0</xdr:rowOff>
    </xdr:from>
    <xdr:to>
      <xdr:col>8</xdr:col>
      <xdr:colOff>118950</xdr:colOff>
      <xdr:row>2</xdr:row>
      <xdr:rowOff>15974</xdr:rowOff>
    </xdr:to>
    <xdr:grpSp>
      <xdr:nvGrpSpPr>
        <xdr:cNvPr id="462" name="Abgerundetes Rechteck 164">
          <a:hlinkClick r:id="rId5" invalidUrl="" action="" tgtFrame="" tooltip="" history="1" highlightClick="0" endSnd="0"/>
        </xdr:cNvPr>
        <xdr:cNvGrpSpPr/>
      </xdr:nvGrpSpPr>
      <xdr:grpSpPr>
        <a:xfrm>
          <a:off x="2781300" y="200025"/>
          <a:ext cx="893651" cy="216000"/>
          <a:chOff x="0" y="0"/>
          <a:chExt cx="893650" cy="215999"/>
        </a:xfrm>
      </xdr:grpSpPr>
      <xdr:sp>
        <xdr:nvSpPr>
          <xdr:cNvPr id="460"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61" name="Modul 2"/>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2</a:t>
            </a:r>
          </a:p>
        </xdr:txBody>
      </xdr:sp>
    </xdr:grpSp>
    <xdr:clientData/>
  </xdr:twoCellAnchor>
  <xdr:twoCellAnchor>
    <xdr:from>
      <xdr:col>8</xdr:col>
      <xdr:colOff>171450</xdr:colOff>
      <xdr:row>1</xdr:row>
      <xdr:rowOff>0</xdr:rowOff>
    </xdr:from>
    <xdr:to>
      <xdr:col>10</xdr:col>
      <xdr:colOff>176100</xdr:colOff>
      <xdr:row>2</xdr:row>
      <xdr:rowOff>15974</xdr:rowOff>
    </xdr:to>
    <xdr:grpSp>
      <xdr:nvGrpSpPr>
        <xdr:cNvPr id="465" name="Abgerundetes Rechteck 165">
          <a:hlinkClick r:id="rId6" invalidUrl="" action="" tgtFrame="" tooltip="" history="1" highlightClick="0" endSnd="0"/>
        </xdr:cNvPr>
        <xdr:cNvGrpSpPr/>
      </xdr:nvGrpSpPr>
      <xdr:grpSpPr>
        <a:xfrm>
          <a:off x="3727450" y="200025"/>
          <a:ext cx="893651" cy="216000"/>
          <a:chOff x="0" y="0"/>
          <a:chExt cx="893650" cy="215999"/>
        </a:xfrm>
      </xdr:grpSpPr>
      <xdr:sp>
        <xdr:nvSpPr>
          <xdr:cNvPr id="463"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64" name="Modul 3"/>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3</a:t>
            </a:r>
          </a:p>
        </xdr:txBody>
      </xdr:sp>
    </xdr:grpSp>
    <xdr:clientData/>
  </xdr:twoCellAnchor>
  <xdr:twoCellAnchor>
    <xdr:from>
      <xdr:col>10</xdr:col>
      <xdr:colOff>228600</xdr:colOff>
      <xdr:row>1</xdr:row>
      <xdr:rowOff>0</xdr:rowOff>
    </xdr:from>
    <xdr:to>
      <xdr:col>12</xdr:col>
      <xdr:colOff>233250</xdr:colOff>
      <xdr:row>2</xdr:row>
      <xdr:rowOff>15974</xdr:rowOff>
    </xdr:to>
    <xdr:grpSp>
      <xdr:nvGrpSpPr>
        <xdr:cNvPr id="468" name="Abgerundetes Rechteck 166">
          <a:hlinkClick r:id="rId7" invalidUrl="" action="" tgtFrame="" tooltip="" history="1" highlightClick="0" endSnd="0"/>
        </xdr:cNvPr>
        <xdr:cNvGrpSpPr/>
      </xdr:nvGrpSpPr>
      <xdr:grpSpPr>
        <a:xfrm>
          <a:off x="4673600" y="200025"/>
          <a:ext cx="893651" cy="216000"/>
          <a:chOff x="0" y="0"/>
          <a:chExt cx="893650" cy="215999"/>
        </a:xfrm>
      </xdr:grpSpPr>
      <xdr:sp>
        <xdr:nvSpPr>
          <xdr:cNvPr id="466"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67" name="Modul 4"/>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4</a:t>
            </a:r>
          </a:p>
        </xdr:txBody>
      </xdr:sp>
    </xdr:grpSp>
    <xdr:clientData/>
  </xdr:twoCellAnchor>
  <xdr:twoCellAnchor>
    <xdr:from>
      <xdr:col>14</xdr:col>
      <xdr:colOff>342900</xdr:colOff>
      <xdr:row>1</xdr:row>
      <xdr:rowOff>0</xdr:rowOff>
    </xdr:from>
    <xdr:to>
      <xdr:col>16</xdr:col>
      <xdr:colOff>347550</xdr:colOff>
      <xdr:row>2</xdr:row>
      <xdr:rowOff>15974</xdr:rowOff>
    </xdr:to>
    <xdr:grpSp>
      <xdr:nvGrpSpPr>
        <xdr:cNvPr id="471" name="Abgerundetes Rechteck 167">
          <a:hlinkClick r:id="rId8" invalidUrl="" action="" tgtFrame="" tooltip="" history="1" highlightClick="0" endSnd="0"/>
        </xdr:cNvPr>
        <xdr:cNvGrpSpPr/>
      </xdr:nvGrpSpPr>
      <xdr:grpSpPr>
        <a:xfrm>
          <a:off x="6565900" y="200025"/>
          <a:ext cx="893651" cy="216000"/>
          <a:chOff x="0" y="0"/>
          <a:chExt cx="893650" cy="215999"/>
        </a:xfrm>
      </xdr:grpSpPr>
      <xdr:sp>
        <xdr:nvSpPr>
          <xdr:cNvPr id="469"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70" name="Modul 6"/>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6</a:t>
            </a:r>
          </a:p>
        </xdr:txBody>
      </xdr:sp>
    </xdr:grpSp>
    <xdr:clientData/>
  </xdr:twoCellAnchor>
  <xdr:twoCellAnchor>
    <xdr:from>
      <xdr:col>12</xdr:col>
      <xdr:colOff>285750</xdr:colOff>
      <xdr:row>1</xdr:row>
      <xdr:rowOff>0</xdr:rowOff>
    </xdr:from>
    <xdr:to>
      <xdr:col>14</xdr:col>
      <xdr:colOff>290400</xdr:colOff>
      <xdr:row>2</xdr:row>
      <xdr:rowOff>15974</xdr:rowOff>
    </xdr:to>
    <xdr:grpSp>
      <xdr:nvGrpSpPr>
        <xdr:cNvPr id="474" name="Abgerundetes Rechteck 168">
          <a:hlinkClick r:id="rId9" invalidUrl="" action="" tgtFrame="" tooltip="" history="1" highlightClick="0" endSnd="0"/>
        </xdr:cNvPr>
        <xdr:cNvGrpSpPr/>
      </xdr:nvGrpSpPr>
      <xdr:grpSpPr>
        <a:xfrm>
          <a:off x="5619750" y="200025"/>
          <a:ext cx="893651" cy="216000"/>
          <a:chOff x="0" y="0"/>
          <a:chExt cx="893650" cy="215999"/>
        </a:xfrm>
      </xdr:grpSpPr>
      <xdr:sp>
        <xdr:nvSpPr>
          <xdr:cNvPr id="472" name="Abgerundetes Rechteck"/>
          <xdr:cNvSpPr/>
        </xdr:nvSpPr>
        <xdr:spPr>
          <a:xfrm>
            <a:off x="0" y="0"/>
            <a:ext cx="893651" cy="216000"/>
          </a:xfrm>
          <a:prstGeom prst="roundRect">
            <a:avLst>
              <a:gd name="adj" fmla="val 16667"/>
            </a:avLst>
          </a:prstGeom>
          <a:solidFill>
            <a:srgbClr val="C3D69B"/>
          </a:solidFill>
          <a:ln w="19050" cap="flat">
            <a:solidFill>
              <a:srgbClr val="008000"/>
            </a:solidFill>
            <a:prstDash val="solid"/>
            <a:round/>
          </a:ln>
          <a:effectLst/>
        </xdr:spPr>
        <xdr:txBody>
          <a:bodyPr/>
          <a:lstStyle/>
          <a:p>
            <a:pPr/>
          </a:p>
        </xdr:txBody>
      </xdr:sp>
      <xdr:sp>
        <xdr:nvSpPr>
          <xdr:cNvPr id="473" name="Modul 5"/>
          <xdr:cNvSpPr txBox="1"/>
        </xdr:nvSpPr>
        <xdr:spPr>
          <a:xfrm>
            <a:off x="46738" y="6879"/>
            <a:ext cx="800174" cy="20224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Calibri"/>
                <a:ea typeface="Calibri"/>
                <a:cs typeface="Calibri"/>
                <a:sym typeface="Calibri"/>
              </a:defRPr>
            </a:pPr>
            <a:r>
              <a:rPr b="1" baseline="0" cap="none" i="0" spc="0" strike="noStrike" sz="1000" u="none">
                <a:solidFill>
                  <a:srgbClr val="000000"/>
                </a:solidFill>
                <a:uFillTx/>
                <a:latin typeface="Calibri"/>
                <a:ea typeface="Calibri"/>
                <a:cs typeface="Calibri"/>
                <a:sym typeface="Calibri"/>
              </a:rPr>
              <a:t>Modul 5</a:t>
            </a:r>
          </a:p>
        </xdr:txBody>
      </xdr:sp>
    </xdr:grpSp>
    <xdr:clientData/>
  </xdr:twoCellAnchor>
</xdr:wsDr>
</file>

<file path=xl/theme/theme1.xml><?xml version="1.0" encoding="utf-8"?>
<a:theme xmlns:a="http://schemas.openxmlformats.org/drawingml/2006/main" xmlns:r="http://schemas.openxmlformats.org/officeDocument/2006/relationships" name="Office-Design">
  <a:themeElements>
    <a:clrScheme name="Office-Design">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Design">
      <a:majorFont>
        <a:latin typeface="Helvetica Neue"/>
        <a:ea typeface="Helvetica Neue"/>
        <a:cs typeface="Helvetica Neue"/>
      </a:majorFont>
      <a:minorFont>
        <a:latin typeface="Helvetica Neue"/>
        <a:ea typeface="Helvetica Neue"/>
        <a:cs typeface="Helvetica Neue"/>
      </a:minorFont>
    </a:fontScheme>
    <a:fmtScheme name="Office-Design">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8.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9.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10.xml.rels><?xml version="1.0" encoding="UTF-8"?>
<Relationships xmlns="http://schemas.openxmlformats.org/package/2006/relationships"><Relationship Id="rId1" Type="http://schemas.openxmlformats.org/officeDocument/2006/relationships/drawing" Target="../drawings/drawing9.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103</v>
      </c>
      <c r="C11" s="3"/>
      <c r="D11" s="3"/>
    </row>
    <row r="12">
      <c r="B12" s="4"/>
      <c r="C12" t="s" s="4">
        <v>5</v>
      </c>
      <c r="D12" t="s" s="5">
        <v>103</v>
      </c>
    </row>
    <row r="13">
      <c r="B13" t="s" s="3">
        <v>131</v>
      </c>
      <c r="C13" s="3"/>
      <c r="D13" s="3"/>
    </row>
    <row r="14">
      <c r="B14" s="4"/>
      <c r="C14" t="s" s="4">
        <v>5</v>
      </c>
      <c r="D14" t="s" s="5">
        <v>131</v>
      </c>
    </row>
    <row r="15">
      <c r="B15" t="s" s="3">
        <v>164</v>
      </c>
      <c r="C15" s="3"/>
      <c r="D15" s="3"/>
    </row>
    <row r="16">
      <c r="B16" s="4"/>
      <c r="C16" t="s" s="4">
        <v>5</v>
      </c>
      <c r="D16" t="s" s="5">
        <v>164</v>
      </c>
    </row>
    <row r="17">
      <c r="B17" t="s" s="3">
        <v>201</v>
      </c>
      <c r="C17" s="3"/>
      <c r="D17" s="3"/>
    </row>
    <row r="18">
      <c r="B18" s="4"/>
      <c r="C18" t="s" s="4">
        <v>5</v>
      </c>
      <c r="D18" t="s" s="5">
        <v>201</v>
      </c>
    </row>
    <row r="19">
      <c r="B19" t="s" s="3">
        <v>263</v>
      </c>
      <c r="C19" s="3"/>
      <c r="D19" s="3"/>
    </row>
    <row r="20">
      <c r="B20" s="4"/>
      <c r="C20" t="s" s="4">
        <v>5</v>
      </c>
      <c r="D20" t="s" s="5">
        <v>263</v>
      </c>
    </row>
    <row r="21">
      <c r="B21" t="s" s="3">
        <v>318</v>
      </c>
      <c r="C21" s="3"/>
      <c r="D21" s="3"/>
    </row>
    <row r="22">
      <c r="B22" s="4"/>
      <c r="C22" t="s" s="4">
        <v>5</v>
      </c>
      <c r="D22" t="s" s="5">
        <v>318</v>
      </c>
    </row>
    <row r="23">
      <c r="B23" t="s" s="3">
        <v>337</v>
      </c>
      <c r="C23" s="3"/>
      <c r="D23" s="3"/>
    </row>
    <row r="24">
      <c r="B24" s="4"/>
      <c r="C24" t="s" s="4">
        <v>5</v>
      </c>
      <c r="D24" t="s" s="5">
        <v>337</v>
      </c>
    </row>
    <row r="25">
      <c r="B25" t="s" s="3">
        <v>394</v>
      </c>
      <c r="C25" s="3"/>
      <c r="D25" s="3"/>
    </row>
    <row r="26">
      <c r="B26" s="4"/>
      <c r="C26" t="s" s="4">
        <v>5</v>
      </c>
      <c r="D26" t="s" s="5">
        <v>394</v>
      </c>
    </row>
    <row r="27">
      <c r="B27" t="s" s="3">
        <v>562</v>
      </c>
      <c r="C27" s="3"/>
      <c r="D27" s="3"/>
    </row>
    <row r="28">
      <c r="B28" s="4"/>
      <c r="C28" t="s" s="4">
        <v>5</v>
      </c>
      <c r="D28" t="s" s="5">
        <v>562</v>
      </c>
    </row>
  </sheetData>
  <mergeCells count="1">
    <mergeCell ref="B3:D3"/>
  </mergeCells>
  <hyperlinks>
    <hyperlink ref="D10" location="'Kap. 1, 2, 3'!R1C1" tooltip="" display="Kap. 1, 2, 3"/>
    <hyperlink ref="D12" location="'Modul 1'!R1C1" tooltip="" display="Modul 1"/>
    <hyperlink ref="D14" location="'Modul 2'!R1C1" tooltip="" display="Modul 2"/>
    <hyperlink ref="D16" location="'Modul 3'!R1C1" tooltip="" display="Modul 3"/>
    <hyperlink ref="D18" location="'Modul 4'!R1C1" tooltip="" display="Modul 4"/>
    <hyperlink ref="D20" location="'Modul 5'!R1C1" tooltip="" display="Modul 5"/>
    <hyperlink ref="D22" location="'Modul 6'!R1C1" tooltip="" display="Modul 6"/>
    <hyperlink ref="D24" location="'Kap. 5 Pflegegrad'!R1C1" tooltip="" display="Kap. 5 Pflegegrad"/>
    <hyperlink ref="D26" location="'Kap. 6, 7, 8, 9'!R1C1" tooltip="" display="Kap. 6, 7, 8, 9"/>
    <hyperlink ref="D28" location="'#'!R1C1" tooltip="" display="#"/>
  </hyperlinks>
</worksheet>
</file>

<file path=xl/worksheets/sheet2.xml><?xml version="1.0" encoding="utf-8"?>
<worksheet xmlns:r="http://schemas.openxmlformats.org/officeDocument/2006/relationships" xmlns="http://schemas.openxmlformats.org/spreadsheetml/2006/main">
  <dimension ref="A1:W217"/>
  <sheetViews>
    <sheetView workbookViewId="0" showGridLines="0" defaultGridColor="1"/>
  </sheetViews>
  <sheetFormatPr defaultColWidth="5.83333" defaultRowHeight="15.75" customHeight="1" outlineLevelRow="0" outlineLevelCol="0"/>
  <cols>
    <col min="1" max="23" width="5.85156" style="6" customWidth="1"/>
    <col min="24" max="16384" width="5.85156" style="6" customWidth="1"/>
  </cols>
  <sheetData>
    <row r="1" ht="15.75" customHeight="1">
      <c r="A1" s="7"/>
      <c r="B1" s="8"/>
      <c r="C1" s="8"/>
      <c r="D1" s="8"/>
      <c r="E1" s="8"/>
      <c r="F1" s="8"/>
      <c r="G1" s="8"/>
      <c r="H1" s="8"/>
      <c r="I1" s="8"/>
      <c r="J1" s="8"/>
      <c r="K1" s="8"/>
      <c r="L1" s="8"/>
      <c r="M1" s="8"/>
      <c r="N1" s="8"/>
      <c r="O1" s="8"/>
      <c r="P1" s="8"/>
      <c r="Q1" s="8"/>
      <c r="R1" s="8"/>
      <c r="S1" s="8"/>
      <c r="T1" s="8"/>
      <c r="U1" s="8"/>
      <c r="V1" s="8"/>
      <c r="W1" s="9"/>
    </row>
    <row r="2" ht="15.75" customHeight="1">
      <c r="A2" t="s" s="10">
        <v>6</v>
      </c>
      <c r="B2" s="11"/>
      <c r="C2" s="11"/>
      <c r="D2" s="11"/>
      <c r="E2" s="11"/>
      <c r="F2" s="11"/>
      <c r="G2" s="11"/>
      <c r="H2" s="11"/>
      <c r="I2" s="11"/>
      <c r="J2" s="11"/>
      <c r="K2" s="11"/>
      <c r="L2" s="11"/>
      <c r="M2" s="11"/>
      <c r="N2" s="11"/>
      <c r="O2" s="11"/>
      <c r="P2" s="11"/>
      <c r="Q2" s="11"/>
      <c r="R2" s="11"/>
      <c r="S2" s="11"/>
      <c r="T2" s="11"/>
      <c r="U2" s="11"/>
      <c r="V2" s="11"/>
      <c r="W2" s="12"/>
    </row>
    <row r="3" ht="15.75" customHeight="1">
      <c r="A3" s="13"/>
      <c r="B3" s="11"/>
      <c r="C3" s="14"/>
      <c r="D3" s="14"/>
      <c r="E3" s="14"/>
      <c r="F3" s="14"/>
      <c r="G3" s="14"/>
      <c r="H3" s="14"/>
      <c r="I3" s="14"/>
      <c r="J3" s="14"/>
      <c r="K3" s="14"/>
      <c r="L3" s="14"/>
      <c r="M3" s="14"/>
      <c r="N3" s="14"/>
      <c r="O3" s="14"/>
      <c r="P3" s="14"/>
      <c r="Q3" s="14"/>
      <c r="R3" s="14"/>
      <c r="S3" s="14"/>
      <c r="T3" s="14"/>
      <c r="U3" s="14"/>
      <c r="V3" s="11"/>
      <c r="W3" s="12"/>
    </row>
    <row r="4" ht="18.75" customHeight="1">
      <c r="A4" s="13"/>
      <c r="B4" s="15"/>
      <c r="C4" t="s" s="16">
        <v>7</v>
      </c>
      <c r="D4" s="17"/>
      <c r="E4" s="17"/>
      <c r="F4" s="17"/>
      <c r="G4" s="17"/>
      <c r="H4" s="17"/>
      <c r="I4" s="17"/>
      <c r="J4" s="17"/>
      <c r="K4" s="17"/>
      <c r="L4" s="17"/>
      <c r="M4" s="17"/>
      <c r="N4" s="17"/>
      <c r="O4" s="17"/>
      <c r="P4" s="17"/>
      <c r="Q4" s="17"/>
      <c r="R4" s="17"/>
      <c r="S4" s="17"/>
      <c r="T4" s="17"/>
      <c r="U4" s="18"/>
      <c r="V4" s="19"/>
      <c r="W4" s="12"/>
    </row>
    <row r="5" ht="15" customHeight="1">
      <c r="A5" s="20"/>
      <c r="B5" s="21"/>
      <c r="C5" t="s" s="22">
        <v>8</v>
      </c>
      <c r="D5" s="23"/>
      <c r="E5" s="23"/>
      <c r="F5" s="23"/>
      <c r="G5" t="s" s="24">
        <f>CONCATENATE(O24," ",E24)</f>
        <v>9</v>
      </c>
      <c r="H5" s="25"/>
      <c r="I5" s="25"/>
      <c r="J5" s="25"/>
      <c r="K5" s="25"/>
      <c r="L5" s="25"/>
      <c r="M5" s="25"/>
      <c r="N5" s="25"/>
      <c r="O5" s="25"/>
      <c r="P5" s="25"/>
      <c r="Q5" t="s" s="26">
        <v>10</v>
      </c>
      <c r="R5" s="27"/>
      <c r="S5" s="27"/>
      <c r="T5" s="28">
        <f>F26</f>
      </c>
      <c r="U5" s="29"/>
      <c r="V5" s="19"/>
      <c r="W5" s="12"/>
    </row>
    <row r="6" ht="18" customHeight="1">
      <c r="A6" s="20"/>
      <c r="B6" s="21"/>
      <c r="C6" t="s" s="30">
        <v>11</v>
      </c>
      <c r="D6" s="31"/>
      <c r="E6" s="31"/>
      <c r="F6" s="31"/>
      <c r="G6" s="32">
        <f>G10</f>
      </c>
      <c r="H6" s="32"/>
      <c r="I6" s="33"/>
      <c r="J6" s="33"/>
      <c r="K6" s="33"/>
      <c r="L6" s="33"/>
      <c r="M6" s="33"/>
      <c r="N6" s="33"/>
      <c r="O6" s="33"/>
      <c r="P6" s="33"/>
      <c r="Q6" s="33"/>
      <c r="R6" s="33"/>
      <c r="S6" s="33"/>
      <c r="T6" s="33"/>
      <c r="U6" s="34"/>
      <c r="V6" s="19"/>
      <c r="W6" s="12"/>
    </row>
    <row r="7" ht="15.75" customHeight="1">
      <c r="A7" s="13"/>
      <c r="B7" s="11"/>
      <c r="C7" s="35"/>
      <c r="D7" s="35"/>
      <c r="E7" s="35"/>
      <c r="F7" s="35"/>
      <c r="G7" s="35"/>
      <c r="H7" s="35"/>
      <c r="I7" s="35"/>
      <c r="J7" s="35"/>
      <c r="K7" s="35"/>
      <c r="L7" s="35"/>
      <c r="M7" s="35"/>
      <c r="N7" s="35"/>
      <c r="O7" s="35"/>
      <c r="P7" s="35"/>
      <c r="Q7" s="35"/>
      <c r="R7" s="35"/>
      <c r="S7" s="35"/>
      <c r="T7" s="35"/>
      <c r="U7" s="35"/>
      <c r="V7" s="11"/>
      <c r="W7" s="12"/>
    </row>
    <row r="8" ht="21" customHeight="1">
      <c r="A8" s="36"/>
      <c r="B8" s="37"/>
      <c r="C8" t="s" s="38">
        <v>12</v>
      </c>
      <c r="D8" s="39"/>
      <c r="E8" s="39"/>
      <c r="F8" s="39"/>
      <c r="G8" s="39"/>
      <c r="H8" s="39"/>
      <c r="I8" s="39"/>
      <c r="J8" s="39"/>
      <c r="K8" s="39"/>
      <c r="L8" s="39"/>
      <c r="M8" s="39"/>
      <c r="N8" s="39"/>
      <c r="O8" s="39"/>
      <c r="P8" s="39"/>
      <c r="Q8" s="39"/>
      <c r="R8" s="39"/>
      <c r="S8" s="39"/>
      <c r="T8" s="39"/>
      <c r="U8" s="39"/>
      <c r="V8" s="11"/>
      <c r="W8" s="12"/>
    </row>
    <row r="9" ht="15.75" customHeight="1">
      <c r="A9" s="13"/>
      <c r="B9" s="11"/>
      <c r="C9" s="11"/>
      <c r="D9" s="11"/>
      <c r="E9" s="11"/>
      <c r="F9" s="11"/>
      <c r="G9" s="40"/>
      <c r="H9" s="40"/>
      <c r="I9" s="40"/>
      <c r="J9" s="11"/>
      <c r="K9" s="11"/>
      <c r="L9" s="11"/>
      <c r="M9" s="11"/>
      <c r="N9" s="11"/>
      <c r="O9" s="11"/>
      <c r="P9" s="11"/>
      <c r="Q9" s="11"/>
      <c r="R9" s="11"/>
      <c r="S9" s="11"/>
      <c r="T9" s="11"/>
      <c r="U9" s="11"/>
      <c r="V9" s="11"/>
      <c r="W9" s="12"/>
    </row>
    <row r="10" ht="19.5" customHeight="1">
      <c r="A10" s="13"/>
      <c r="B10" s="11"/>
      <c r="C10" t="s" s="41">
        <v>13</v>
      </c>
      <c r="D10" s="42"/>
      <c r="E10" s="42"/>
      <c r="F10" s="43"/>
      <c r="G10" s="44"/>
      <c r="H10" s="45"/>
      <c r="I10" s="46"/>
      <c r="J10" s="47"/>
      <c r="K10" s="11"/>
      <c r="L10" s="11"/>
      <c r="M10" s="11"/>
      <c r="N10" s="11"/>
      <c r="O10" s="11"/>
      <c r="P10" s="11"/>
      <c r="Q10" s="11"/>
      <c r="R10" s="11"/>
      <c r="S10" s="11"/>
      <c r="T10" s="11"/>
      <c r="U10" s="11"/>
      <c r="V10" s="11"/>
      <c r="W10" s="12"/>
    </row>
    <row r="11" ht="15.75" customHeight="1">
      <c r="A11" s="13"/>
      <c r="B11" s="11"/>
      <c r="C11" s="11"/>
      <c r="D11" s="11"/>
      <c r="E11" s="11"/>
      <c r="F11" s="11"/>
      <c r="G11" s="48"/>
      <c r="H11" s="48"/>
      <c r="I11" s="48"/>
      <c r="J11" s="11"/>
      <c r="K11" s="11"/>
      <c r="L11" s="11"/>
      <c r="M11" s="11"/>
      <c r="N11" s="11"/>
      <c r="O11" s="11"/>
      <c r="P11" s="11"/>
      <c r="Q11" s="11"/>
      <c r="R11" s="11"/>
      <c r="S11" s="11"/>
      <c r="T11" s="11"/>
      <c r="U11" s="11"/>
      <c r="V11" s="11"/>
      <c r="W11" s="12"/>
    </row>
    <row r="12" ht="15.75" customHeight="1">
      <c r="A12" s="13"/>
      <c r="B12" s="11"/>
      <c r="C12" t="s" s="41">
        <v>14</v>
      </c>
      <c r="D12" s="42"/>
      <c r="E12" s="42"/>
      <c r="F12" s="42"/>
      <c r="G12" s="42"/>
      <c r="H12" s="42"/>
      <c r="I12" s="11"/>
      <c r="J12" s="11"/>
      <c r="K12" s="11"/>
      <c r="L12" s="11"/>
      <c r="M12" s="11"/>
      <c r="N12" s="11"/>
      <c r="O12" s="11"/>
      <c r="P12" s="11"/>
      <c r="Q12" s="11"/>
      <c r="R12" s="11"/>
      <c r="S12" s="11"/>
      <c r="T12" s="11"/>
      <c r="U12" s="11"/>
      <c r="V12" s="11"/>
      <c r="W12" s="12"/>
    </row>
    <row r="13" ht="15.75" customHeight="1">
      <c r="A13" s="13"/>
      <c r="B13" s="11"/>
      <c r="C13" s="11"/>
      <c r="D13" s="11"/>
      <c r="E13" s="40"/>
      <c r="F13" s="40"/>
      <c r="G13" s="40"/>
      <c r="H13" s="40"/>
      <c r="I13" s="40"/>
      <c r="J13" s="40"/>
      <c r="K13" s="40"/>
      <c r="L13" s="11"/>
      <c r="M13" s="11"/>
      <c r="N13" s="11"/>
      <c r="O13" s="40"/>
      <c r="P13" s="40"/>
      <c r="Q13" s="40"/>
      <c r="R13" s="40"/>
      <c r="S13" s="40"/>
      <c r="T13" s="40"/>
      <c r="U13" s="40"/>
      <c r="V13" s="11"/>
      <c r="W13" s="12"/>
    </row>
    <row r="14" ht="20.1" customHeight="1">
      <c r="A14" s="13"/>
      <c r="B14" s="11"/>
      <c r="C14" t="s" s="49">
        <v>15</v>
      </c>
      <c r="D14" s="50"/>
      <c r="E14" s="51"/>
      <c r="F14" s="52"/>
      <c r="G14" s="52"/>
      <c r="H14" s="52"/>
      <c r="I14" s="52"/>
      <c r="J14" s="52"/>
      <c r="K14" s="53"/>
      <c r="L14" s="47"/>
      <c r="M14" t="s" s="54">
        <v>16</v>
      </c>
      <c r="N14" s="55"/>
      <c r="O14" s="51"/>
      <c r="P14" s="52"/>
      <c r="Q14" s="52"/>
      <c r="R14" s="52"/>
      <c r="S14" s="52"/>
      <c r="T14" s="52"/>
      <c r="U14" s="53"/>
      <c r="V14" s="47"/>
      <c r="W14" s="12"/>
    </row>
    <row r="15" ht="15.75" customHeight="1">
      <c r="A15" s="13"/>
      <c r="B15" s="11"/>
      <c r="C15" s="11"/>
      <c r="D15" s="11"/>
      <c r="E15" s="48"/>
      <c r="F15" s="48"/>
      <c r="G15" s="48"/>
      <c r="H15" s="48"/>
      <c r="I15" s="48"/>
      <c r="J15" s="48"/>
      <c r="K15" s="48"/>
      <c r="L15" s="11"/>
      <c r="M15" s="11"/>
      <c r="N15" s="11"/>
      <c r="O15" s="48"/>
      <c r="P15" s="48"/>
      <c r="Q15" s="48"/>
      <c r="R15" s="48"/>
      <c r="S15" s="48"/>
      <c r="T15" s="48"/>
      <c r="U15" s="48"/>
      <c r="V15" s="11"/>
      <c r="W15" s="12"/>
    </row>
    <row r="16" ht="15.75" customHeight="1">
      <c r="A16" s="13"/>
      <c r="B16" s="11"/>
      <c r="C16" t="s" s="41">
        <v>17</v>
      </c>
      <c r="D16" s="42"/>
      <c r="E16" s="42"/>
      <c r="F16" s="42"/>
      <c r="G16" s="42"/>
      <c r="H16" s="42"/>
      <c r="I16" s="11"/>
      <c r="J16" s="11"/>
      <c r="K16" s="11"/>
      <c r="L16" s="11"/>
      <c r="M16" s="11"/>
      <c r="N16" s="11"/>
      <c r="O16" s="11"/>
      <c r="P16" s="11"/>
      <c r="Q16" s="11"/>
      <c r="R16" s="11"/>
      <c r="S16" s="11"/>
      <c r="T16" s="11"/>
      <c r="U16" s="11"/>
      <c r="V16" s="11"/>
      <c r="W16" s="12"/>
    </row>
    <row r="17" ht="15.75" customHeight="1">
      <c r="A17" s="13"/>
      <c r="B17" s="11"/>
      <c r="C17" s="11"/>
      <c r="D17" s="11"/>
      <c r="E17" s="40"/>
      <c r="F17" s="40"/>
      <c r="G17" s="40"/>
      <c r="H17" s="40"/>
      <c r="I17" s="40"/>
      <c r="J17" s="40"/>
      <c r="K17" s="40"/>
      <c r="L17" s="11"/>
      <c r="M17" s="11"/>
      <c r="N17" s="11"/>
      <c r="O17" s="40"/>
      <c r="P17" s="40"/>
      <c r="Q17" s="40"/>
      <c r="R17" s="11"/>
      <c r="S17" s="11"/>
      <c r="T17" s="11"/>
      <c r="U17" s="11"/>
      <c r="V17" s="11"/>
      <c r="W17" s="12"/>
    </row>
    <row r="18" ht="20.1" customHeight="1">
      <c r="A18" s="13"/>
      <c r="B18" s="11"/>
      <c r="C18" t="s" s="54">
        <v>18</v>
      </c>
      <c r="D18" s="55"/>
      <c r="E18" s="51"/>
      <c r="F18" s="52"/>
      <c r="G18" s="52"/>
      <c r="H18" s="52"/>
      <c r="I18" s="52"/>
      <c r="J18" s="52"/>
      <c r="K18" s="53"/>
      <c r="L18" s="47"/>
      <c r="M18" t="s" s="54">
        <v>19</v>
      </c>
      <c r="N18" s="55"/>
      <c r="O18" s="56"/>
      <c r="P18" s="57"/>
      <c r="Q18" s="58"/>
      <c r="R18" s="47"/>
      <c r="S18" s="11"/>
      <c r="T18" s="11"/>
      <c r="U18" s="11"/>
      <c r="V18" s="11"/>
      <c r="W18" s="12"/>
    </row>
    <row r="19" ht="15.75" customHeight="1">
      <c r="A19" s="13"/>
      <c r="B19" s="11"/>
      <c r="C19" s="11"/>
      <c r="D19" s="11"/>
      <c r="E19" s="59"/>
      <c r="F19" s="59"/>
      <c r="G19" s="59"/>
      <c r="H19" s="48"/>
      <c r="I19" s="48"/>
      <c r="J19" s="48"/>
      <c r="K19" s="48"/>
      <c r="L19" s="11"/>
      <c r="M19" s="11"/>
      <c r="N19" s="11"/>
      <c r="O19" s="59"/>
      <c r="P19" s="59"/>
      <c r="Q19" s="59"/>
      <c r="R19" s="40"/>
      <c r="S19" s="40"/>
      <c r="T19" s="40"/>
      <c r="U19" s="40"/>
      <c r="V19" s="11"/>
      <c r="W19" s="12"/>
    </row>
    <row r="20" ht="20.1" customHeight="1">
      <c r="A20" s="13"/>
      <c r="B20" s="11"/>
      <c r="C20" t="s" s="49">
        <v>20</v>
      </c>
      <c r="D20" s="50"/>
      <c r="E20" s="60"/>
      <c r="F20" s="61"/>
      <c r="G20" s="62"/>
      <c r="H20" s="47"/>
      <c r="I20" s="11"/>
      <c r="J20" s="11"/>
      <c r="K20" s="11"/>
      <c r="L20" s="11"/>
      <c r="M20" t="s" s="49">
        <v>21</v>
      </c>
      <c r="N20" s="50"/>
      <c r="O20" s="51"/>
      <c r="P20" s="52"/>
      <c r="Q20" s="52"/>
      <c r="R20" s="52"/>
      <c r="S20" s="52"/>
      <c r="T20" s="52"/>
      <c r="U20" s="53"/>
      <c r="V20" s="47"/>
      <c r="W20" s="12"/>
    </row>
    <row r="21" ht="15.75" customHeight="1">
      <c r="A21" s="13"/>
      <c r="B21" s="11"/>
      <c r="C21" s="11"/>
      <c r="D21" s="11"/>
      <c r="E21" s="48"/>
      <c r="F21" s="48"/>
      <c r="G21" s="48"/>
      <c r="H21" s="11"/>
      <c r="I21" s="11"/>
      <c r="J21" s="11"/>
      <c r="K21" s="11"/>
      <c r="L21" s="11"/>
      <c r="M21" s="11"/>
      <c r="N21" s="11"/>
      <c r="O21" s="48"/>
      <c r="P21" s="48"/>
      <c r="Q21" s="48"/>
      <c r="R21" s="48"/>
      <c r="S21" s="48"/>
      <c r="T21" s="48"/>
      <c r="U21" s="48"/>
      <c r="V21" s="11"/>
      <c r="W21" s="12"/>
    </row>
    <row r="22" ht="15.75" customHeight="1">
      <c r="A22" s="13"/>
      <c r="B22" s="11"/>
      <c r="C22" t="s" s="41">
        <v>22</v>
      </c>
      <c r="D22" s="42"/>
      <c r="E22" s="42"/>
      <c r="F22" s="42"/>
      <c r="G22" s="42"/>
      <c r="H22" s="42"/>
      <c r="I22" s="11"/>
      <c r="J22" s="11"/>
      <c r="K22" s="11"/>
      <c r="L22" s="11"/>
      <c r="M22" s="11"/>
      <c r="N22" s="11"/>
      <c r="O22" s="11"/>
      <c r="P22" s="11"/>
      <c r="Q22" s="11"/>
      <c r="R22" s="11"/>
      <c r="S22" s="11"/>
      <c r="T22" s="11"/>
      <c r="U22" s="11"/>
      <c r="V22" s="11"/>
      <c r="W22" s="12"/>
    </row>
    <row r="23" ht="15.75" customHeight="1">
      <c r="A23" s="13"/>
      <c r="B23" s="11"/>
      <c r="C23" s="11"/>
      <c r="D23" s="11"/>
      <c r="E23" s="40"/>
      <c r="F23" s="40"/>
      <c r="G23" s="40"/>
      <c r="H23" s="40"/>
      <c r="I23" s="40"/>
      <c r="J23" s="40"/>
      <c r="K23" s="40"/>
      <c r="L23" s="11"/>
      <c r="M23" s="11"/>
      <c r="N23" s="11"/>
      <c r="O23" s="40"/>
      <c r="P23" s="40"/>
      <c r="Q23" s="40"/>
      <c r="R23" s="40"/>
      <c r="S23" s="40"/>
      <c r="T23" s="40"/>
      <c r="U23" s="40"/>
      <c r="V23" s="11"/>
      <c r="W23" s="12"/>
    </row>
    <row r="24" ht="20.1" customHeight="1">
      <c r="A24" s="13"/>
      <c r="B24" s="11"/>
      <c r="C24" t="s" s="49">
        <v>15</v>
      </c>
      <c r="D24" s="50"/>
      <c r="E24" s="51"/>
      <c r="F24" s="52"/>
      <c r="G24" s="52"/>
      <c r="H24" s="52"/>
      <c r="I24" s="52"/>
      <c r="J24" s="52"/>
      <c r="K24" s="53"/>
      <c r="L24" s="47"/>
      <c r="M24" t="s" s="54">
        <v>16</v>
      </c>
      <c r="N24" s="55"/>
      <c r="O24" s="51"/>
      <c r="P24" s="52"/>
      <c r="Q24" s="52"/>
      <c r="R24" s="52"/>
      <c r="S24" s="52"/>
      <c r="T24" s="52"/>
      <c r="U24" s="53"/>
      <c r="V24" s="47"/>
      <c r="W24" s="12"/>
    </row>
    <row r="25" ht="15.75" customHeight="1">
      <c r="A25" s="13"/>
      <c r="B25" s="11"/>
      <c r="C25" s="11"/>
      <c r="D25" s="11"/>
      <c r="E25" s="48"/>
      <c r="F25" s="59"/>
      <c r="G25" s="59"/>
      <c r="H25" s="59"/>
      <c r="I25" s="48"/>
      <c r="J25" s="48"/>
      <c r="K25" s="48"/>
      <c r="L25" s="11"/>
      <c r="M25" s="11"/>
      <c r="N25" s="11"/>
      <c r="O25" s="48"/>
      <c r="P25" s="48"/>
      <c r="Q25" s="48"/>
      <c r="R25" s="48"/>
      <c r="S25" s="48"/>
      <c r="T25" s="48"/>
      <c r="U25" s="48"/>
      <c r="V25" s="11"/>
      <c r="W25" s="12"/>
    </row>
    <row r="26" ht="20.1" customHeight="1">
      <c r="A26" s="13"/>
      <c r="B26" s="11"/>
      <c r="C26" t="s" s="54">
        <v>10</v>
      </c>
      <c r="D26" s="63"/>
      <c r="E26" s="55"/>
      <c r="F26" s="44"/>
      <c r="G26" s="45"/>
      <c r="H26" s="46"/>
      <c r="I26" s="47"/>
      <c r="J26" s="11"/>
      <c r="K26" s="11"/>
      <c r="L26" s="11"/>
      <c r="M26" s="11"/>
      <c r="N26" s="11"/>
      <c r="O26" s="11"/>
      <c r="P26" s="11"/>
      <c r="Q26" s="11"/>
      <c r="R26" s="11"/>
      <c r="S26" s="11"/>
      <c r="T26" s="11"/>
      <c r="U26" s="11"/>
      <c r="V26" s="11"/>
      <c r="W26" s="12"/>
    </row>
    <row r="27" ht="15.75" customHeight="1">
      <c r="A27" s="13"/>
      <c r="B27" s="11"/>
      <c r="C27" s="11"/>
      <c r="D27" s="11"/>
      <c r="E27" s="11"/>
      <c r="F27" s="48"/>
      <c r="G27" s="48"/>
      <c r="H27" s="48"/>
      <c r="I27" s="11"/>
      <c r="J27" s="11"/>
      <c r="K27" s="11"/>
      <c r="L27" s="11"/>
      <c r="M27" s="11"/>
      <c r="N27" s="11"/>
      <c r="O27" s="11"/>
      <c r="P27" s="11"/>
      <c r="Q27" s="11"/>
      <c r="R27" s="11"/>
      <c r="S27" s="11"/>
      <c r="T27" s="11"/>
      <c r="U27" s="11"/>
      <c r="V27" s="11"/>
      <c r="W27" s="12"/>
    </row>
    <row r="28" ht="15.75" customHeight="1">
      <c r="A28" s="13"/>
      <c r="B28" s="11"/>
      <c r="C28" t="s" s="41">
        <v>23</v>
      </c>
      <c r="D28" s="42"/>
      <c r="E28" s="42"/>
      <c r="F28" s="42"/>
      <c r="G28" s="42"/>
      <c r="H28" s="42"/>
      <c r="I28" s="11"/>
      <c r="J28" s="11"/>
      <c r="K28" s="11"/>
      <c r="L28" s="11"/>
      <c r="M28" s="11"/>
      <c r="N28" s="11"/>
      <c r="O28" s="11"/>
      <c r="P28" s="11"/>
      <c r="Q28" s="11"/>
      <c r="R28" s="11"/>
      <c r="S28" s="11"/>
      <c r="T28" s="11"/>
      <c r="U28" s="11"/>
      <c r="V28" s="11"/>
      <c r="W28" s="12"/>
    </row>
    <row r="29" ht="15.75" customHeight="1">
      <c r="A29" s="13"/>
      <c r="B29" s="11"/>
      <c r="C29" s="11"/>
      <c r="D29" s="11"/>
      <c r="E29" s="40"/>
      <c r="F29" s="40"/>
      <c r="G29" s="40"/>
      <c r="H29" s="40"/>
      <c r="I29" s="40"/>
      <c r="J29" s="40"/>
      <c r="K29" s="40"/>
      <c r="L29" s="11"/>
      <c r="M29" s="11"/>
      <c r="N29" s="11"/>
      <c r="O29" s="40"/>
      <c r="P29" s="40"/>
      <c r="Q29" s="40"/>
      <c r="R29" s="11"/>
      <c r="S29" s="11"/>
      <c r="T29" s="11"/>
      <c r="U29" s="11"/>
      <c r="V29" s="11"/>
      <c r="W29" s="12"/>
    </row>
    <row r="30" ht="20.1" customHeight="1">
      <c r="A30" s="13"/>
      <c r="B30" s="11"/>
      <c r="C30" t="s" s="54">
        <v>18</v>
      </c>
      <c r="D30" s="55"/>
      <c r="E30" s="51"/>
      <c r="F30" s="52"/>
      <c r="G30" s="52"/>
      <c r="H30" s="52"/>
      <c r="I30" s="52"/>
      <c r="J30" s="52"/>
      <c r="K30" s="53"/>
      <c r="L30" s="47"/>
      <c r="M30" t="s" s="54">
        <v>19</v>
      </c>
      <c r="N30" s="55"/>
      <c r="O30" s="56"/>
      <c r="P30" s="57"/>
      <c r="Q30" s="58"/>
      <c r="R30" s="47"/>
      <c r="S30" s="11"/>
      <c r="T30" s="11"/>
      <c r="U30" s="11"/>
      <c r="V30" s="11"/>
      <c r="W30" s="12"/>
    </row>
    <row r="31" ht="15.75" customHeight="1">
      <c r="A31" s="13"/>
      <c r="B31" s="11"/>
      <c r="C31" s="11"/>
      <c r="D31" s="11"/>
      <c r="E31" s="59"/>
      <c r="F31" s="59"/>
      <c r="G31" s="59"/>
      <c r="H31" s="48"/>
      <c r="I31" s="48"/>
      <c r="J31" s="48"/>
      <c r="K31" s="48"/>
      <c r="L31" s="11"/>
      <c r="M31" s="11"/>
      <c r="N31" s="11"/>
      <c r="O31" s="59"/>
      <c r="P31" s="59"/>
      <c r="Q31" s="59"/>
      <c r="R31" s="40"/>
      <c r="S31" s="40"/>
      <c r="T31" s="40"/>
      <c r="U31" s="40"/>
      <c r="V31" s="11"/>
      <c r="W31" s="12"/>
    </row>
    <row r="32" ht="20.1" customHeight="1">
      <c r="A32" s="13"/>
      <c r="B32" s="11"/>
      <c r="C32" t="s" s="49">
        <v>20</v>
      </c>
      <c r="D32" s="50"/>
      <c r="E32" s="60"/>
      <c r="F32" s="61"/>
      <c r="G32" s="62"/>
      <c r="H32" s="47"/>
      <c r="I32" s="11"/>
      <c r="J32" s="11"/>
      <c r="K32" s="11"/>
      <c r="L32" s="11"/>
      <c r="M32" t="s" s="49">
        <v>21</v>
      </c>
      <c r="N32" s="50"/>
      <c r="O32" s="51"/>
      <c r="P32" s="52"/>
      <c r="Q32" s="52"/>
      <c r="R32" s="52"/>
      <c r="S32" s="52"/>
      <c r="T32" s="52"/>
      <c r="U32" s="53"/>
      <c r="V32" s="47"/>
      <c r="W32" s="12"/>
    </row>
    <row r="33" ht="15.75" customHeight="1">
      <c r="A33" s="13"/>
      <c r="B33" s="11"/>
      <c r="C33" s="11"/>
      <c r="D33" s="11"/>
      <c r="E33" s="48"/>
      <c r="F33" s="48"/>
      <c r="G33" s="48"/>
      <c r="H33" s="11"/>
      <c r="I33" s="11"/>
      <c r="J33" s="11"/>
      <c r="K33" s="11"/>
      <c r="L33" s="11"/>
      <c r="M33" s="11"/>
      <c r="N33" s="11"/>
      <c r="O33" s="48"/>
      <c r="P33" s="48"/>
      <c r="Q33" s="48"/>
      <c r="R33" s="48"/>
      <c r="S33" s="48"/>
      <c r="T33" s="48"/>
      <c r="U33" s="48"/>
      <c r="V33" s="11"/>
      <c r="W33" s="12"/>
    </row>
    <row r="34" ht="15.75" customHeight="1">
      <c r="A34" s="13"/>
      <c r="B34" s="11"/>
      <c r="C34" t="s" s="41">
        <v>24</v>
      </c>
      <c r="D34" s="42"/>
      <c r="E34" s="42"/>
      <c r="F34" s="42"/>
      <c r="G34" s="42"/>
      <c r="H34" s="42"/>
      <c r="I34" s="11"/>
      <c r="J34" s="11"/>
      <c r="K34" s="11"/>
      <c r="L34" s="11"/>
      <c r="M34" s="11"/>
      <c r="N34" s="11"/>
      <c r="O34" s="11"/>
      <c r="P34" s="11"/>
      <c r="Q34" s="11"/>
      <c r="R34" s="11"/>
      <c r="S34" s="11"/>
      <c r="T34" s="11"/>
      <c r="U34" s="11"/>
      <c r="V34" s="11"/>
      <c r="W34" s="12"/>
    </row>
    <row r="35" ht="15.75" customHeight="1">
      <c r="A35" s="13"/>
      <c r="B35" s="11"/>
      <c r="C35" s="11"/>
      <c r="D35" s="11"/>
      <c r="E35" s="40"/>
      <c r="F35" s="40"/>
      <c r="G35" s="40"/>
      <c r="H35" s="40"/>
      <c r="I35" s="40"/>
      <c r="J35" s="40"/>
      <c r="K35" s="40"/>
      <c r="L35" s="11"/>
      <c r="M35" s="11"/>
      <c r="N35" s="11"/>
      <c r="O35" s="40"/>
      <c r="P35" s="40"/>
      <c r="Q35" s="40"/>
      <c r="R35" s="11"/>
      <c r="S35" s="11"/>
      <c r="T35" s="11"/>
      <c r="U35" s="11"/>
      <c r="V35" s="11"/>
      <c r="W35" s="12"/>
    </row>
    <row r="36" ht="20.1" customHeight="1">
      <c r="A36" s="13"/>
      <c r="B36" s="11"/>
      <c r="C36" t="s" s="54">
        <v>18</v>
      </c>
      <c r="D36" s="55"/>
      <c r="E36" s="51"/>
      <c r="F36" s="52"/>
      <c r="G36" s="52"/>
      <c r="H36" s="52"/>
      <c r="I36" s="52"/>
      <c r="J36" s="52"/>
      <c r="K36" s="53"/>
      <c r="L36" s="47"/>
      <c r="M36" t="s" s="54">
        <v>19</v>
      </c>
      <c r="N36" s="55"/>
      <c r="O36" s="56"/>
      <c r="P36" s="57"/>
      <c r="Q36" s="58"/>
      <c r="R36" s="47"/>
      <c r="S36" s="11"/>
      <c r="T36" s="11"/>
      <c r="U36" s="11"/>
      <c r="V36" s="11"/>
      <c r="W36" s="12"/>
    </row>
    <row r="37" ht="15.75" customHeight="1">
      <c r="A37" s="13"/>
      <c r="B37" s="11"/>
      <c r="C37" s="11"/>
      <c r="D37" s="11"/>
      <c r="E37" s="59"/>
      <c r="F37" s="59"/>
      <c r="G37" s="59"/>
      <c r="H37" s="48"/>
      <c r="I37" s="48"/>
      <c r="J37" s="48"/>
      <c r="K37" s="48"/>
      <c r="L37" s="11"/>
      <c r="M37" s="11"/>
      <c r="N37" s="11"/>
      <c r="O37" s="59"/>
      <c r="P37" s="59"/>
      <c r="Q37" s="59"/>
      <c r="R37" s="40"/>
      <c r="S37" s="40"/>
      <c r="T37" s="40"/>
      <c r="U37" s="40"/>
      <c r="V37" s="11"/>
      <c r="W37" s="12"/>
    </row>
    <row r="38" ht="20.1" customHeight="1">
      <c r="A38" s="13"/>
      <c r="B38" s="11"/>
      <c r="C38" t="s" s="49">
        <v>20</v>
      </c>
      <c r="D38" s="50"/>
      <c r="E38" s="60"/>
      <c r="F38" s="61"/>
      <c r="G38" s="62"/>
      <c r="H38" s="47"/>
      <c r="I38" s="11"/>
      <c r="J38" s="11"/>
      <c r="K38" s="11"/>
      <c r="L38" s="11"/>
      <c r="M38" t="s" s="49">
        <v>21</v>
      </c>
      <c r="N38" s="50"/>
      <c r="O38" s="51"/>
      <c r="P38" s="52"/>
      <c r="Q38" s="52"/>
      <c r="R38" s="52"/>
      <c r="S38" s="52"/>
      <c r="T38" s="52"/>
      <c r="U38" s="53"/>
      <c r="V38" s="47"/>
      <c r="W38" s="12"/>
    </row>
    <row r="39" ht="15.75" customHeight="1">
      <c r="A39" s="13"/>
      <c r="B39" s="11"/>
      <c r="C39" s="11"/>
      <c r="D39" s="11"/>
      <c r="E39" s="48"/>
      <c r="F39" s="48"/>
      <c r="G39" s="48"/>
      <c r="H39" s="11"/>
      <c r="I39" s="11"/>
      <c r="J39" s="11"/>
      <c r="K39" s="11"/>
      <c r="L39" s="11"/>
      <c r="M39" s="11"/>
      <c r="N39" s="11"/>
      <c r="O39" s="48"/>
      <c r="P39" s="48"/>
      <c r="Q39" s="48"/>
      <c r="R39" s="48"/>
      <c r="S39" s="48"/>
      <c r="T39" s="48"/>
      <c r="U39" s="48"/>
      <c r="V39" s="11"/>
      <c r="W39" s="12"/>
    </row>
    <row r="40" ht="15.75" customHeight="1">
      <c r="A40" s="13"/>
      <c r="B40" s="11"/>
      <c r="C40" t="s" s="41">
        <v>25</v>
      </c>
      <c r="D40" s="42"/>
      <c r="E40" s="42"/>
      <c r="F40" s="42"/>
      <c r="G40" s="42"/>
      <c r="H40" s="42"/>
      <c r="I40" s="11"/>
      <c r="J40" s="11"/>
      <c r="K40" s="11"/>
      <c r="L40" s="11"/>
      <c r="M40" s="11"/>
      <c r="N40" s="11"/>
      <c r="O40" s="11"/>
      <c r="P40" s="11"/>
      <c r="Q40" s="11"/>
      <c r="R40" s="11"/>
      <c r="S40" s="11"/>
      <c r="T40" s="11"/>
      <c r="U40" s="11"/>
      <c r="V40" s="11"/>
      <c r="W40" s="12"/>
    </row>
    <row r="41" ht="15.75" customHeight="1">
      <c r="A41" s="13"/>
      <c r="B41" s="11"/>
      <c r="C41" s="40"/>
      <c r="D41" s="40"/>
      <c r="E41" s="40"/>
      <c r="F41" s="40"/>
      <c r="G41" s="40"/>
      <c r="H41" s="40"/>
      <c r="I41" s="40"/>
      <c r="J41" s="40"/>
      <c r="K41" s="40"/>
      <c r="L41" s="40"/>
      <c r="M41" s="40"/>
      <c r="N41" s="40"/>
      <c r="O41" s="40"/>
      <c r="P41" t="s" s="64">
        <v>26</v>
      </c>
      <c r="Q41" s="11"/>
      <c r="R41" s="11"/>
      <c r="S41" s="11"/>
      <c r="T41" s="11"/>
      <c r="U41" s="11"/>
      <c r="V41" s="11"/>
      <c r="W41" s="12"/>
    </row>
    <row r="42" ht="20.1" customHeight="1">
      <c r="A42" s="13"/>
      <c r="B42" s="50"/>
      <c r="C42" s="65"/>
      <c r="D42" s="66"/>
      <c r="E42" s="66"/>
      <c r="F42" s="66"/>
      <c r="G42" s="66"/>
      <c r="H42" s="66"/>
      <c r="I42" s="66"/>
      <c r="J42" s="66"/>
      <c r="K42" s="66"/>
      <c r="L42" s="66"/>
      <c r="M42" s="66"/>
      <c r="N42" s="66"/>
      <c r="O42" s="66"/>
      <c r="P42" s="67"/>
      <c r="Q42" s="47"/>
      <c r="R42" s="11"/>
      <c r="S42" s="11"/>
      <c r="T42" s="11"/>
      <c r="U42" s="11"/>
      <c r="V42" s="11"/>
      <c r="W42" s="12"/>
    </row>
    <row r="43" ht="15.75" customHeight="1">
      <c r="A43" s="13"/>
      <c r="B43" s="11"/>
      <c r="C43" s="48"/>
      <c r="D43" s="48"/>
      <c r="E43" s="48"/>
      <c r="F43" s="48"/>
      <c r="G43" s="48"/>
      <c r="H43" s="48"/>
      <c r="I43" s="48"/>
      <c r="J43" s="48"/>
      <c r="K43" s="48"/>
      <c r="L43" s="48"/>
      <c r="M43" s="48"/>
      <c r="N43" s="48"/>
      <c r="O43" s="48"/>
      <c r="P43" s="48"/>
      <c r="Q43" s="11"/>
      <c r="R43" s="11"/>
      <c r="S43" s="11"/>
      <c r="T43" s="11"/>
      <c r="U43" s="11"/>
      <c r="V43" s="11"/>
      <c r="W43" s="12"/>
    </row>
    <row r="44" ht="15.75" customHeight="1">
      <c r="A44" s="13"/>
      <c r="B44" s="11"/>
      <c r="C44" t="s" s="41">
        <v>27</v>
      </c>
      <c r="D44" s="42"/>
      <c r="E44" s="42"/>
      <c r="F44" s="42"/>
      <c r="G44" s="42"/>
      <c r="H44" s="42"/>
      <c r="I44" s="11"/>
      <c r="J44" s="11"/>
      <c r="K44" s="11"/>
      <c r="L44" s="11"/>
      <c r="M44" s="11"/>
      <c r="N44" s="11"/>
      <c r="O44" s="11"/>
      <c r="P44" s="11"/>
      <c r="Q44" s="11"/>
      <c r="R44" s="11"/>
      <c r="S44" s="11"/>
      <c r="T44" s="11"/>
      <c r="U44" s="11"/>
      <c r="V44" s="11"/>
      <c r="W44" s="12"/>
    </row>
    <row r="45" ht="15.75" customHeight="1">
      <c r="A45" s="13"/>
      <c r="B45" s="11"/>
      <c r="C45" s="40"/>
      <c r="D45" s="40"/>
      <c r="E45" s="40"/>
      <c r="F45" s="40"/>
      <c r="G45" s="40"/>
      <c r="H45" s="40"/>
      <c r="I45" s="40"/>
      <c r="J45" s="40"/>
      <c r="K45" s="40"/>
      <c r="L45" s="40"/>
      <c r="M45" s="40"/>
      <c r="N45" s="40"/>
      <c r="O45" t="s" s="64">
        <v>26</v>
      </c>
      <c r="P45" s="11"/>
      <c r="Q45" s="11"/>
      <c r="R45" s="11"/>
      <c r="S45" s="11"/>
      <c r="T45" s="11"/>
      <c r="U45" s="11"/>
      <c r="V45" s="11"/>
      <c r="W45" s="12"/>
    </row>
    <row r="46" ht="20.1" customHeight="1">
      <c r="A46" s="13"/>
      <c r="B46" s="50"/>
      <c r="C46" s="65"/>
      <c r="D46" s="66"/>
      <c r="E46" s="66"/>
      <c r="F46" s="66"/>
      <c r="G46" s="66"/>
      <c r="H46" s="66"/>
      <c r="I46" s="66"/>
      <c r="J46" s="66"/>
      <c r="K46" s="66"/>
      <c r="L46" s="66"/>
      <c r="M46" s="66"/>
      <c r="N46" s="66"/>
      <c r="O46" s="67"/>
      <c r="P46" s="47"/>
      <c r="Q46" s="11"/>
      <c r="R46" s="11"/>
      <c r="S46" s="11"/>
      <c r="T46" s="11"/>
      <c r="U46" s="11"/>
      <c r="V46" s="11"/>
      <c r="W46" s="12"/>
    </row>
    <row r="47" ht="15.75" customHeight="1">
      <c r="A47" s="13"/>
      <c r="B47" s="11"/>
      <c r="C47" s="48"/>
      <c r="D47" s="48"/>
      <c r="E47" s="48"/>
      <c r="F47" s="48"/>
      <c r="G47" s="48"/>
      <c r="H47" s="48"/>
      <c r="I47" s="59"/>
      <c r="J47" s="59"/>
      <c r="K47" s="59"/>
      <c r="L47" s="48"/>
      <c r="M47" s="48"/>
      <c r="N47" s="48"/>
      <c r="O47" s="48"/>
      <c r="P47" s="11"/>
      <c r="Q47" s="11"/>
      <c r="R47" s="11"/>
      <c r="S47" s="11"/>
      <c r="T47" s="11"/>
      <c r="U47" s="11"/>
      <c r="V47" s="11"/>
      <c r="W47" s="12"/>
    </row>
    <row r="48" ht="20.1" customHeight="1">
      <c r="A48" s="13"/>
      <c r="B48" s="11"/>
      <c r="C48" t="s" s="41">
        <v>28</v>
      </c>
      <c r="D48" s="42"/>
      <c r="E48" s="42"/>
      <c r="F48" s="42"/>
      <c r="G48" s="42"/>
      <c r="H48" s="43"/>
      <c r="I48" s="44"/>
      <c r="J48" s="45"/>
      <c r="K48" s="46"/>
      <c r="L48" s="47"/>
      <c r="M48" s="11"/>
      <c r="N48" s="11"/>
      <c r="O48" s="11"/>
      <c r="P48" s="11"/>
      <c r="Q48" s="11"/>
      <c r="R48" s="11"/>
      <c r="S48" s="11"/>
      <c r="T48" s="11"/>
      <c r="U48" s="11"/>
      <c r="V48" s="11"/>
      <c r="W48" s="12"/>
    </row>
    <row r="49" ht="15.75" customHeight="1">
      <c r="A49" s="13"/>
      <c r="B49" s="11"/>
      <c r="C49" s="11"/>
      <c r="D49" s="11"/>
      <c r="E49" s="11"/>
      <c r="F49" s="11"/>
      <c r="G49" s="11"/>
      <c r="H49" s="11"/>
      <c r="I49" s="59"/>
      <c r="J49" s="59"/>
      <c r="K49" s="59"/>
      <c r="L49" s="11"/>
      <c r="M49" s="11"/>
      <c r="N49" s="11"/>
      <c r="O49" s="11"/>
      <c r="P49" s="11"/>
      <c r="Q49" s="11"/>
      <c r="R49" s="11"/>
      <c r="S49" s="11"/>
      <c r="T49" s="11"/>
      <c r="U49" s="11"/>
      <c r="V49" s="11"/>
      <c r="W49" s="12"/>
    </row>
    <row r="50" ht="21" customHeight="1">
      <c r="A50" s="13"/>
      <c r="B50" s="11"/>
      <c r="C50" t="s" s="41">
        <v>29</v>
      </c>
      <c r="D50" s="42"/>
      <c r="E50" s="42"/>
      <c r="F50" s="42"/>
      <c r="G50" s="42"/>
      <c r="H50" s="43"/>
      <c r="I50" s="44"/>
      <c r="J50" s="45"/>
      <c r="K50" s="46"/>
      <c r="L50" s="47"/>
      <c r="M50" s="11"/>
      <c r="N50" s="11"/>
      <c r="O50" s="11"/>
      <c r="P50" s="11"/>
      <c r="Q50" s="11"/>
      <c r="R50" s="11"/>
      <c r="S50" s="11"/>
      <c r="T50" s="11"/>
      <c r="U50" s="11"/>
      <c r="V50" s="11"/>
      <c r="W50" s="12"/>
    </row>
    <row r="51" ht="15.75" customHeight="1">
      <c r="A51" s="13"/>
      <c r="B51" s="11"/>
      <c r="C51" s="11"/>
      <c r="D51" s="11"/>
      <c r="E51" s="11"/>
      <c r="F51" s="11"/>
      <c r="G51" s="11"/>
      <c r="H51" s="11"/>
      <c r="I51" s="48"/>
      <c r="J51" s="48"/>
      <c r="K51" s="48"/>
      <c r="L51" s="11"/>
      <c r="M51" s="11"/>
      <c r="N51" s="11"/>
      <c r="O51" s="11"/>
      <c r="P51" s="11"/>
      <c r="Q51" s="11"/>
      <c r="R51" s="11"/>
      <c r="S51" s="11"/>
      <c r="T51" s="11"/>
      <c r="U51" s="11"/>
      <c r="V51" s="11"/>
      <c r="W51" s="12"/>
    </row>
    <row r="52" ht="15.75" customHeight="1">
      <c r="A52" s="13"/>
      <c r="B52" s="11"/>
      <c r="C52" t="s" s="41">
        <v>30</v>
      </c>
      <c r="D52" s="42"/>
      <c r="E52" s="42"/>
      <c r="F52" s="42"/>
      <c r="G52" s="42"/>
      <c r="H52" s="42"/>
      <c r="I52" s="11"/>
      <c r="J52" s="11"/>
      <c r="K52" s="11"/>
      <c r="L52" s="11"/>
      <c r="M52" s="11"/>
      <c r="N52" s="11"/>
      <c r="O52" s="11"/>
      <c r="P52" s="11"/>
      <c r="Q52" s="11"/>
      <c r="R52" s="11"/>
      <c r="S52" s="11"/>
      <c r="T52" s="11"/>
      <c r="U52" s="11"/>
      <c r="V52" s="11"/>
      <c r="W52" s="12"/>
    </row>
    <row r="53" ht="15.75" customHeight="1">
      <c r="A53" s="13"/>
      <c r="B53" s="11"/>
      <c r="C53" s="11"/>
      <c r="D53" s="11"/>
      <c r="E53" s="40"/>
      <c r="F53" s="40"/>
      <c r="G53" s="40"/>
      <c r="H53" s="11"/>
      <c r="I53" s="11"/>
      <c r="J53" s="11"/>
      <c r="K53" s="11"/>
      <c r="L53" s="11"/>
      <c r="M53" s="11"/>
      <c r="N53" s="11"/>
      <c r="O53" s="40"/>
      <c r="P53" s="40"/>
      <c r="Q53" s="40"/>
      <c r="R53" s="11"/>
      <c r="S53" s="11"/>
      <c r="T53" s="11"/>
      <c r="U53" s="11"/>
      <c r="V53" s="11"/>
      <c r="W53" s="12"/>
    </row>
    <row r="54" ht="20.1" customHeight="1">
      <c r="A54" s="13"/>
      <c r="B54" s="11"/>
      <c r="C54" t="s" s="49">
        <v>31</v>
      </c>
      <c r="D54" s="50"/>
      <c r="E54" s="44"/>
      <c r="F54" s="45"/>
      <c r="G54" s="46"/>
      <c r="H54" s="47"/>
      <c r="I54" s="11"/>
      <c r="J54" s="11"/>
      <c r="K54" s="11"/>
      <c r="L54" s="11"/>
      <c r="M54" t="s" s="49">
        <v>32</v>
      </c>
      <c r="N54" s="50"/>
      <c r="O54" s="44"/>
      <c r="P54" s="45"/>
      <c r="Q54" s="46"/>
      <c r="R54" s="47"/>
      <c r="S54" s="11"/>
      <c r="T54" s="11"/>
      <c r="U54" s="11"/>
      <c r="V54" s="11"/>
      <c r="W54" s="12"/>
    </row>
    <row r="55" ht="15.75" customHeight="1">
      <c r="A55" s="13"/>
      <c r="B55" s="11"/>
      <c r="C55" s="11"/>
      <c r="D55" s="11"/>
      <c r="E55" s="59"/>
      <c r="F55" s="59"/>
      <c r="G55" s="59"/>
      <c r="H55" s="40"/>
      <c r="I55" s="40"/>
      <c r="J55" s="40"/>
      <c r="K55" s="40"/>
      <c r="L55" s="40"/>
      <c r="M55" s="40"/>
      <c r="N55" s="40"/>
      <c r="O55" s="59"/>
      <c r="P55" s="48"/>
      <c r="Q55" s="48"/>
      <c r="R55" s="11"/>
      <c r="S55" s="11"/>
      <c r="T55" s="11"/>
      <c r="U55" s="11"/>
      <c r="V55" s="11"/>
      <c r="W55" s="12"/>
    </row>
    <row r="56" ht="25.5" customHeight="1">
      <c r="A56" s="13"/>
      <c r="B56" s="11"/>
      <c r="C56" s="11"/>
      <c r="D56" s="50"/>
      <c r="E56" s="68"/>
      <c r="F56" s="69"/>
      <c r="G56" s="69"/>
      <c r="H56" s="69"/>
      <c r="I56" s="69"/>
      <c r="J56" s="69"/>
      <c r="K56" s="69"/>
      <c r="L56" s="69"/>
      <c r="M56" s="69"/>
      <c r="N56" s="69"/>
      <c r="O56" s="70"/>
      <c r="P56" s="47"/>
      <c r="Q56" s="11"/>
      <c r="R56" s="11"/>
      <c r="S56" s="11"/>
      <c r="T56" s="11"/>
      <c r="U56" s="11"/>
      <c r="V56" s="11"/>
      <c r="W56" s="12"/>
    </row>
    <row r="57" ht="15.75" customHeight="1">
      <c r="A57" s="13"/>
      <c r="B57" s="11"/>
      <c r="C57" s="11"/>
      <c r="D57" s="11"/>
      <c r="E57" s="48"/>
      <c r="F57" s="48"/>
      <c r="G57" s="48"/>
      <c r="H57" s="48"/>
      <c r="I57" s="48"/>
      <c r="J57" s="48"/>
      <c r="K57" s="48"/>
      <c r="L57" s="48"/>
      <c r="M57" s="48"/>
      <c r="N57" s="48"/>
      <c r="O57" s="48"/>
      <c r="P57" s="11"/>
      <c r="Q57" s="11"/>
      <c r="R57" s="11"/>
      <c r="S57" s="11"/>
      <c r="T57" s="11"/>
      <c r="U57" s="11"/>
      <c r="V57" s="11"/>
      <c r="W57" s="12"/>
    </row>
    <row r="58" ht="15.75" customHeight="1">
      <c r="A58" s="13"/>
      <c r="B58" s="11"/>
      <c r="C58" t="s" s="41">
        <v>33</v>
      </c>
      <c r="D58" s="42"/>
      <c r="E58" s="42"/>
      <c r="F58" s="42"/>
      <c r="G58" s="42"/>
      <c r="H58" s="42"/>
      <c r="I58" s="11"/>
      <c r="J58" s="11"/>
      <c r="K58" s="11"/>
      <c r="L58" s="11"/>
      <c r="M58" s="11"/>
      <c r="N58" s="11"/>
      <c r="O58" s="11"/>
      <c r="P58" s="11"/>
      <c r="Q58" s="11"/>
      <c r="R58" s="11"/>
      <c r="S58" s="11"/>
      <c r="T58" s="11"/>
      <c r="U58" s="11"/>
      <c r="V58" s="11"/>
      <c r="W58" s="12"/>
    </row>
    <row r="59" ht="15.75" customHeight="1">
      <c r="A59" s="13"/>
      <c r="B59" s="11"/>
      <c r="C59" s="40"/>
      <c r="D59" s="40"/>
      <c r="E59" s="40"/>
      <c r="F59" s="40"/>
      <c r="G59" s="40"/>
      <c r="H59" s="40"/>
      <c r="I59" s="40"/>
      <c r="J59" s="40"/>
      <c r="K59" s="40"/>
      <c r="L59" s="40"/>
      <c r="M59" s="40"/>
      <c r="N59" s="40"/>
      <c r="O59" s="40"/>
      <c r="P59" s="40"/>
      <c r="Q59" s="40"/>
      <c r="R59" s="40"/>
      <c r="S59" s="40"/>
      <c r="T59" s="40"/>
      <c r="U59" s="40"/>
      <c r="V59" s="11"/>
      <c r="W59" s="12"/>
    </row>
    <row r="60" ht="25.5" customHeight="1">
      <c r="A60" s="13"/>
      <c r="B60" s="50"/>
      <c r="C60" s="71"/>
      <c r="D60" t="s" s="72">
        <v>34</v>
      </c>
      <c r="E60" s="73"/>
      <c r="F60" s="73"/>
      <c r="G60" s="73"/>
      <c r="H60" s="73"/>
      <c r="I60" s="73"/>
      <c r="J60" s="73"/>
      <c r="K60" s="73"/>
      <c r="L60" s="73"/>
      <c r="M60" s="73"/>
      <c r="N60" s="73"/>
      <c r="O60" s="73"/>
      <c r="P60" s="73"/>
      <c r="Q60" s="73"/>
      <c r="R60" s="73"/>
      <c r="S60" s="73"/>
      <c r="T60" s="73"/>
      <c r="U60" s="74"/>
      <c r="V60" s="47"/>
      <c r="W60" s="12"/>
    </row>
    <row r="61" ht="25.5" customHeight="1">
      <c r="A61" s="13"/>
      <c r="B61" s="50"/>
      <c r="C61" s="75"/>
      <c r="D61" t="s" s="76">
        <v>35</v>
      </c>
      <c r="E61" s="77"/>
      <c r="F61" s="77"/>
      <c r="G61" s="77"/>
      <c r="H61" s="77"/>
      <c r="I61" s="77"/>
      <c r="J61" s="77"/>
      <c r="K61" s="77"/>
      <c r="L61" s="77"/>
      <c r="M61" s="77"/>
      <c r="N61" s="77"/>
      <c r="O61" s="77"/>
      <c r="P61" s="77"/>
      <c r="Q61" s="77"/>
      <c r="R61" s="77"/>
      <c r="S61" s="77"/>
      <c r="T61" s="77"/>
      <c r="U61" s="78"/>
      <c r="V61" s="47"/>
      <c r="W61" s="12"/>
    </row>
    <row r="62" ht="25.5" customHeight="1">
      <c r="A62" s="13"/>
      <c r="B62" s="50"/>
      <c r="C62" s="75"/>
      <c r="D62" t="s" s="76">
        <v>36</v>
      </c>
      <c r="E62" s="77"/>
      <c r="F62" s="77"/>
      <c r="G62" s="77"/>
      <c r="H62" s="77"/>
      <c r="I62" s="77"/>
      <c r="J62" s="77"/>
      <c r="K62" s="77"/>
      <c r="L62" s="77"/>
      <c r="M62" s="77"/>
      <c r="N62" s="77"/>
      <c r="O62" s="77"/>
      <c r="P62" s="77"/>
      <c r="Q62" s="77"/>
      <c r="R62" s="77"/>
      <c r="S62" s="77"/>
      <c r="T62" s="77"/>
      <c r="U62" s="78"/>
      <c r="V62" s="47"/>
      <c r="W62" s="12"/>
    </row>
    <row r="63" ht="25.5" customHeight="1">
      <c r="A63" s="13"/>
      <c r="B63" s="50"/>
      <c r="C63" s="75"/>
      <c r="D63" t="s" s="76">
        <v>37</v>
      </c>
      <c r="E63" s="77"/>
      <c r="F63" s="77"/>
      <c r="G63" s="77"/>
      <c r="H63" s="77"/>
      <c r="I63" s="77"/>
      <c r="J63" s="77"/>
      <c r="K63" s="77"/>
      <c r="L63" s="77"/>
      <c r="M63" s="77"/>
      <c r="N63" s="77"/>
      <c r="O63" s="77"/>
      <c r="P63" s="77"/>
      <c r="Q63" s="77"/>
      <c r="R63" s="77"/>
      <c r="S63" s="77"/>
      <c r="T63" s="77"/>
      <c r="U63" s="78"/>
      <c r="V63" s="47"/>
      <c r="W63" s="12"/>
    </row>
    <row r="64" ht="25.5" customHeight="1">
      <c r="A64" s="13"/>
      <c r="B64" s="50"/>
      <c r="C64" s="75"/>
      <c r="D64" t="s" s="76">
        <v>38</v>
      </c>
      <c r="E64" s="77"/>
      <c r="F64" s="77"/>
      <c r="G64" s="77"/>
      <c r="H64" s="77"/>
      <c r="I64" s="77"/>
      <c r="J64" s="77"/>
      <c r="K64" s="77"/>
      <c r="L64" s="77"/>
      <c r="M64" s="77"/>
      <c r="N64" s="77"/>
      <c r="O64" s="77"/>
      <c r="P64" s="77"/>
      <c r="Q64" s="77"/>
      <c r="R64" s="77"/>
      <c r="S64" s="77"/>
      <c r="T64" s="77"/>
      <c r="U64" s="78"/>
      <c r="V64" s="47"/>
      <c r="W64" s="12"/>
    </row>
    <row r="65" ht="25.5" customHeight="1">
      <c r="A65" s="13"/>
      <c r="B65" s="50"/>
      <c r="C65" s="75"/>
      <c r="D65" t="s" s="76">
        <v>39</v>
      </c>
      <c r="E65" s="77"/>
      <c r="F65" s="77"/>
      <c r="G65" s="77"/>
      <c r="H65" s="77"/>
      <c r="I65" s="77"/>
      <c r="J65" s="77"/>
      <c r="K65" s="77"/>
      <c r="L65" s="77"/>
      <c r="M65" s="77"/>
      <c r="N65" s="77"/>
      <c r="O65" s="77"/>
      <c r="P65" s="77"/>
      <c r="Q65" s="77"/>
      <c r="R65" s="77"/>
      <c r="S65" s="77"/>
      <c r="T65" s="77"/>
      <c r="U65" s="78"/>
      <c r="V65" s="47"/>
      <c r="W65" s="12"/>
    </row>
    <row r="66" ht="25.5" customHeight="1">
      <c r="A66" s="13"/>
      <c r="B66" s="50"/>
      <c r="C66" s="75"/>
      <c r="D66" t="s" s="76">
        <v>40</v>
      </c>
      <c r="E66" s="77"/>
      <c r="F66" s="77"/>
      <c r="G66" s="77"/>
      <c r="H66" s="77"/>
      <c r="I66" s="77"/>
      <c r="J66" s="77"/>
      <c r="K66" s="77"/>
      <c r="L66" s="77"/>
      <c r="M66" s="77"/>
      <c r="N66" s="77"/>
      <c r="O66" s="77"/>
      <c r="P66" s="77"/>
      <c r="Q66" s="77"/>
      <c r="R66" s="77"/>
      <c r="S66" s="77"/>
      <c r="T66" s="77"/>
      <c r="U66" s="78"/>
      <c r="V66" s="47"/>
      <c r="W66" s="12"/>
    </row>
    <row r="67" ht="25.5" customHeight="1">
      <c r="A67" s="13"/>
      <c r="B67" s="50"/>
      <c r="C67" s="75"/>
      <c r="D67" t="s" s="76">
        <v>41</v>
      </c>
      <c r="E67" s="77"/>
      <c r="F67" s="77"/>
      <c r="G67" s="77"/>
      <c r="H67" s="77"/>
      <c r="I67" s="77"/>
      <c r="J67" s="77"/>
      <c r="K67" s="77"/>
      <c r="L67" s="77"/>
      <c r="M67" s="77"/>
      <c r="N67" s="77"/>
      <c r="O67" s="77"/>
      <c r="P67" s="77"/>
      <c r="Q67" s="77"/>
      <c r="R67" s="77"/>
      <c r="S67" s="77"/>
      <c r="T67" s="77"/>
      <c r="U67" s="78"/>
      <c r="V67" s="47"/>
      <c r="W67" s="12"/>
    </row>
    <row r="68" ht="25.5" customHeight="1">
      <c r="A68" s="13"/>
      <c r="B68" s="50"/>
      <c r="C68" s="79"/>
      <c r="D68" t="s" s="80">
        <v>42</v>
      </c>
      <c r="E68" s="81"/>
      <c r="F68" s="81"/>
      <c r="G68" s="81"/>
      <c r="H68" s="81"/>
      <c r="I68" s="81"/>
      <c r="J68" s="81"/>
      <c r="K68" s="81"/>
      <c r="L68" s="81"/>
      <c r="M68" s="81"/>
      <c r="N68" s="81"/>
      <c r="O68" s="81"/>
      <c r="P68" s="81"/>
      <c r="Q68" s="81"/>
      <c r="R68" s="81"/>
      <c r="S68" s="81"/>
      <c r="T68" s="81"/>
      <c r="U68" s="82"/>
      <c r="V68" s="47"/>
      <c r="W68" s="12"/>
    </row>
    <row r="69" ht="15.75" customHeight="1">
      <c r="A69" s="13"/>
      <c r="B69" s="11"/>
      <c r="C69" s="48"/>
      <c r="D69" s="48"/>
      <c r="E69" s="48"/>
      <c r="F69" s="48"/>
      <c r="G69" s="48"/>
      <c r="H69" s="48"/>
      <c r="I69" s="48"/>
      <c r="J69" s="48"/>
      <c r="K69" s="48"/>
      <c r="L69" s="48"/>
      <c r="M69" s="48"/>
      <c r="N69" s="48"/>
      <c r="O69" s="48"/>
      <c r="P69" s="48"/>
      <c r="Q69" s="48"/>
      <c r="R69" s="48"/>
      <c r="S69" s="48"/>
      <c r="T69" s="48"/>
      <c r="U69" s="48"/>
      <c r="V69" s="11"/>
      <c r="W69" s="12"/>
    </row>
    <row r="70" ht="15.75" customHeight="1">
      <c r="A70" s="13"/>
      <c r="B70" s="11"/>
      <c r="C70" t="s" s="83">
        <v>43</v>
      </c>
      <c r="D70" s="84"/>
      <c r="E70" s="84"/>
      <c r="F70" s="84"/>
      <c r="G70" s="84"/>
      <c r="H70" s="84"/>
      <c r="I70" s="40"/>
      <c r="J70" s="40"/>
      <c r="K70" s="40"/>
      <c r="L70" s="40"/>
      <c r="M70" s="40"/>
      <c r="N70" s="40"/>
      <c r="O70" s="40"/>
      <c r="P70" s="40"/>
      <c r="Q70" s="40"/>
      <c r="R70" s="40"/>
      <c r="S70" s="40"/>
      <c r="T70" s="40"/>
      <c r="U70" s="40"/>
      <c r="V70" s="11"/>
      <c r="W70" s="12"/>
    </row>
    <row r="71" ht="45" customHeight="1">
      <c r="A71" s="13"/>
      <c r="B71" s="50"/>
      <c r="C71" s="85"/>
      <c r="D71" s="86"/>
      <c r="E71" s="86"/>
      <c r="F71" s="86"/>
      <c r="G71" s="86"/>
      <c r="H71" s="86"/>
      <c r="I71" s="86"/>
      <c r="J71" s="86"/>
      <c r="K71" s="86"/>
      <c r="L71" s="86"/>
      <c r="M71" s="86"/>
      <c r="N71" s="86"/>
      <c r="O71" s="86"/>
      <c r="P71" s="86"/>
      <c r="Q71" s="86"/>
      <c r="R71" s="86"/>
      <c r="S71" s="86"/>
      <c r="T71" s="86"/>
      <c r="U71" s="87"/>
      <c r="V71" s="47"/>
      <c r="W71" s="12"/>
    </row>
    <row r="72" ht="15.75" customHeight="1">
      <c r="A72" s="13"/>
      <c r="B72" s="11"/>
      <c r="C72" s="48"/>
      <c r="D72" s="48"/>
      <c r="E72" s="48"/>
      <c r="F72" s="59"/>
      <c r="G72" s="59"/>
      <c r="H72" s="59"/>
      <c r="I72" s="48"/>
      <c r="J72" s="48"/>
      <c r="K72" s="48"/>
      <c r="L72" s="48"/>
      <c r="M72" s="48"/>
      <c r="N72" s="48"/>
      <c r="O72" s="59"/>
      <c r="P72" s="59"/>
      <c r="Q72" s="59"/>
      <c r="R72" s="48"/>
      <c r="S72" s="48"/>
      <c r="T72" s="48"/>
      <c r="U72" s="48"/>
      <c r="V72" s="11"/>
      <c r="W72" s="12"/>
    </row>
    <row r="73" ht="20.1" customHeight="1">
      <c r="A73" s="13"/>
      <c r="B73" s="11"/>
      <c r="C73" t="s" s="54">
        <v>44</v>
      </c>
      <c r="D73" s="63"/>
      <c r="E73" s="55"/>
      <c r="F73" s="44"/>
      <c r="G73" s="45"/>
      <c r="H73" s="46"/>
      <c r="I73" s="47"/>
      <c r="J73" s="11"/>
      <c r="K73" s="11"/>
      <c r="L73" s="11"/>
      <c r="M73" t="s" s="54">
        <v>45</v>
      </c>
      <c r="N73" s="55"/>
      <c r="O73" s="88"/>
      <c r="P73" s="89"/>
      <c r="Q73" s="90"/>
      <c r="R73" s="47"/>
      <c r="S73" s="11"/>
      <c r="T73" s="11"/>
      <c r="U73" s="11"/>
      <c r="V73" s="11"/>
      <c r="W73" s="12"/>
    </row>
    <row r="74" ht="15.75" customHeight="1">
      <c r="A74" s="13"/>
      <c r="B74" s="11"/>
      <c r="C74" s="11"/>
      <c r="D74" s="11"/>
      <c r="E74" s="11"/>
      <c r="F74" s="48"/>
      <c r="G74" s="48"/>
      <c r="H74" s="48"/>
      <c r="I74" s="11"/>
      <c r="J74" s="11"/>
      <c r="K74" s="11"/>
      <c r="L74" s="11"/>
      <c r="M74" s="11"/>
      <c r="N74" s="11"/>
      <c r="O74" s="48"/>
      <c r="P74" s="48"/>
      <c r="Q74" s="48"/>
      <c r="R74" s="11"/>
      <c r="S74" s="11"/>
      <c r="T74" s="11"/>
      <c r="U74" s="11"/>
      <c r="V74" s="11"/>
      <c r="W74" s="12"/>
    </row>
    <row r="75" ht="15.75" customHeight="1">
      <c r="A75" s="13"/>
      <c r="B75" s="11"/>
      <c r="C75" t="s" s="41">
        <v>46</v>
      </c>
      <c r="D75" s="42"/>
      <c r="E75" s="42"/>
      <c r="F75" s="42"/>
      <c r="G75" s="42"/>
      <c r="H75" s="42"/>
      <c r="I75" s="11"/>
      <c r="J75" s="11"/>
      <c r="K75" s="11"/>
      <c r="L75" s="11"/>
      <c r="M75" s="11"/>
      <c r="N75" s="11"/>
      <c r="O75" s="11"/>
      <c r="P75" s="11"/>
      <c r="Q75" s="11"/>
      <c r="R75" s="11"/>
      <c r="S75" s="11"/>
      <c r="T75" s="11"/>
      <c r="U75" s="11"/>
      <c r="V75" s="11"/>
      <c r="W75" s="12"/>
    </row>
    <row r="76" ht="15.75" customHeight="1">
      <c r="A76" s="13"/>
      <c r="B76" s="11"/>
      <c r="C76" s="11"/>
      <c r="D76" s="11"/>
      <c r="E76" s="40"/>
      <c r="F76" s="40"/>
      <c r="G76" s="40"/>
      <c r="H76" s="40"/>
      <c r="I76" s="40"/>
      <c r="J76" s="40"/>
      <c r="K76" s="40"/>
      <c r="L76" s="11"/>
      <c r="M76" s="11"/>
      <c r="N76" s="11"/>
      <c r="O76" s="40"/>
      <c r="P76" s="40"/>
      <c r="Q76" s="40"/>
      <c r="R76" s="40"/>
      <c r="S76" s="40"/>
      <c r="T76" s="40"/>
      <c r="U76" s="40"/>
      <c r="V76" s="11"/>
      <c r="W76" s="12"/>
    </row>
    <row r="77" ht="20.1" customHeight="1">
      <c r="A77" s="13"/>
      <c r="B77" s="11"/>
      <c r="C77" t="s" s="49">
        <v>15</v>
      </c>
      <c r="D77" s="50"/>
      <c r="E77" s="51"/>
      <c r="F77" s="52"/>
      <c r="G77" s="52"/>
      <c r="H77" s="52"/>
      <c r="I77" s="52"/>
      <c r="J77" s="52"/>
      <c r="K77" s="53"/>
      <c r="L77" s="47"/>
      <c r="M77" t="s" s="54">
        <v>16</v>
      </c>
      <c r="N77" s="55"/>
      <c r="O77" s="51"/>
      <c r="P77" s="52"/>
      <c r="Q77" s="52"/>
      <c r="R77" s="52"/>
      <c r="S77" s="52"/>
      <c r="T77" s="52"/>
      <c r="U77" s="53"/>
      <c r="V77" s="47"/>
      <c r="W77" s="12"/>
    </row>
    <row r="78" ht="15.75" customHeight="1">
      <c r="A78" s="13"/>
      <c r="B78" s="11"/>
      <c r="C78" s="11"/>
      <c r="D78" s="11"/>
      <c r="E78" s="48"/>
      <c r="F78" s="48"/>
      <c r="G78" s="59"/>
      <c r="H78" s="59"/>
      <c r="I78" s="59"/>
      <c r="J78" s="59"/>
      <c r="K78" s="59"/>
      <c r="L78" s="40"/>
      <c r="M78" s="40"/>
      <c r="N78" s="40"/>
      <c r="O78" s="59"/>
      <c r="P78" s="59"/>
      <c r="Q78" s="59"/>
      <c r="R78" s="59"/>
      <c r="S78" s="59"/>
      <c r="T78" s="59"/>
      <c r="U78" s="59"/>
      <c r="V78" s="11"/>
      <c r="W78" s="12"/>
    </row>
    <row r="79" ht="20.1" customHeight="1">
      <c r="A79" s="13"/>
      <c r="B79" s="11"/>
      <c r="C79" t="s" s="54">
        <v>47</v>
      </c>
      <c r="D79" s="63"/>
      <c r="E79" s="63"/>
      <c r="F79" s="55"/>
      <c r="G79" s="51"/>
      <c r="H79" s="52"/>
      <c r="I79" s="52"/>
      <c r="J79" s="52"/>
      <c r="K79" s="52"/>
      <c r="L79" s="52"/>
      <c r="M79" s="52"/>
      <c r="N79" s="52"/>
      <c r="O79" s="52"/>
      <c r="P79" s="52"/>
      <c r="Q79" s="52"/>
      <c r="R79" s="52"/>
      <c r="S79" s="52"/>
      <c r="T79" s="52"/>
      <c r="U79" s="53"/>
      <c r="V79" s="47"/>
      <c r="W79" s="12"/>
    </row>
    <row r="80" ht="15.75" customHeight="1">
      <c r="A80" s="13"/>
      <c r="B80" s="11"/>
      <c r="C80" s="11"/>
      <c r="D80" s="11"/>
      <c r="E80" s="11"/>
      <c r="F80" s="11"/>
      <c r="G80" s="48"/>
      <c r="H80" s="48"/>
      <c r="I80" s="48"/>
      <c r="J80" s="48"/>
      <c r="K80" s="48"/>
      <c r="L80" s="48"/>
      <c r="M80" s="48"/>
      <c r="N80" s="48"/>
      <c r="O80" s="48"/>
      <c r="P80" s="48"/>
      <c r="Q80" s="48"/>
      <c r="R80" s="48"/>
      <c r="S80" s="48"/>
      <c r="T80" s="48"/>
      <c r="U80" s="48"/>
      <c r="V80" s="11"/>
      <c r="W80" s="12"/>
    </row>
    <row r="81" ht="15.75" customHeight="1">
      <c r="A81" s="13"/>
      <c r="B81" s="11"/>
      <c r="C81" t="s" s="41">
        <v>48</v>
      </c>
      <c r="D81" s="42"/>
      <c r="E81" s="42"/>
      <c r="F81" s="42"/>
      <c r="G81" s="42"/>
      <c r="H81" s="42"/>
      <c r="I81" s="11"/>
      <c r="J81" s="11"/>
      <c r="K81" s="11"/>
      <c r="L81" s="11"/>
      <c r="M81" s="11"/>
      <c r="N81" s="11"/>
      <c r="O81" s="11"/>
      <c r="P81" s="11"/>
      <c r="Q81" s="11"/>
      <c r="R81" s="11"/>
      <c r="S81" s="11"/>
      <c r="T81" s="11"/>
      <c r="U81" s="11"/>
      <c r="V81" s="11"/>
      <c r="W81" s="12"/>
    </row>
    <row r="82" ht="15.75" customHeight="1">
      <c r="A82" s="13"/>
      <c r="B82" s="11"/>
      <c r="C82" s="40"/>
      <c r="D82" s="40"/>
      <c r="E82" s="40"/>
      <c r="F82" s="40"/>
      <c r="G82" s="40"/>
      <c r="H82" s="40"/>
      <c r="I82" s="40"/>
      <c r="J82" s="40"/>
      <c r="K82" s="40"/>
      <c r="L82" s="40"/>
      <c r="M82" s="40"/>
      <c r="N82" s="40"/>
      <c r="O82" t="s" s="64">
        <v>26</v>
      </c>
      <c r="P82" s="11"/>
      <c r="Q82" s="11"/>
      <c r="R82" s="11"/>
      <c r="S82" s="11"/>
      <c r="T82" s="11"/>
      <c r="U82" s="11"/>
      <c r="V82" s="11"/>
      <c r="W82" s="12"/>
    </row>
    <row r="83" ht="20.1" customHeight="1">
      <c r="A83" s="13"/>
      <c r="B83" s="50"/>
      <c r="C83" s="65"/>
      <c r="D83" s="66"/>
      <c r="E83" s="66"/>
      <c r="F83" s="66"/>
      <c r="G83" s="66"/>
      <c r="H83" s="66"/>
      <c r="I83" s="66"/>
      <c r="J83" s="66"/>
      <c r="K83" s="66"/>
      <c r="L83" s="66"/>
      <c r="M83" s="66"/>
      <c r="N83" s="66"/>
      <c r="O83" s="67"/>
      <c r="P83" s="47"/>
      <c r="Q83" s="11"/>
      <c r="R83" s="11"/>
      <c r="S83" s="11"/>
      <c r="T83" s="11"/>
      <c r="U83" s="11"/>
      <c r="V83" s="11"/>
      <c r="W83" s="12"/>
    </row>
    <row r="84" ht="15.75" customHeight="1">
      <c r="A84" s="13"/>
      <c r="B84" s="11"/>
      <c r="C84" s="59"/>
      <c r="D84" s="59"/>
      <c r="E84" s="59"/>
      <c r="F84" s="59"/>
      <c r="G84" s="59"/>
      <c r="H84" s="59"/>
      <c r="I84" s="59"/>
      <c r="J84" s="59"/>
      <c r="K84" s="59"/>
      <c r="L84" s="59"/>
      <c r="M84" s="59"/>
      <c r="N84" s="59"/>
      <c r="O84" s="59"/>
      <c r="P84" s="40"/>
      <c r="Q84" s="40"/>
      <c r="R84" s="40"/>
      <c r="S84" s="40"/>
      <c r="T84" s="40"/>
      <c r="U84" s="40"/>
      <c r="V84" s="11"/>
      <c r="W84" s="12"/>
    </row>
    <row r="85" ht="60" customHeight="1">
      <c r="A85" s="13"/>
      <c r="B85" s="50"/>
      <c r="C85" s="85"/>
      <c r="D85" s="86"/>
      <c r="E85" s="86"/>
      <c r="F85" s="86"/>
      <c r="G85" s="86"/>
      <c r="H85" s="86"/>
      <c r="I85" s="86"/>
      <c r="J85" s="86"/>
      <c r="K85" s="86"/>
      <c r="L85" s="86"/>
      <c r="M85" s="86"/>
      <c r="N85" s="86"/>
      <c r="O85" s="86"/>
      <c r="P85" s="86"/>
      <c r="Q85" s="86"/>
      <c r="R85" s="86"/>
      <c r="S85" s="86"/>
      <c r="T85" s="86"/>
      <c r="U85" s="87"/>
      <c r="V85" s="47"/>
      <c r="W85" s="12"/>
    </row>
    <row r="86" ht="15.75" customHeight="1">
      <c r="A86" s="13"/>
      <c r="B86" s="11"/>
      <c r="C86" s="48"/>
      <c r="D86" s="48"/>
      <c r="E86" s="48"/>
      <c r="F86" s="48"/>
      <c r="G86" s="48"/>
      <c r="H86" s="48"/>
      <c r="I86" s="48"/>
      <c r="J86" s="48"/>
      <c r="K86" s="48"/>
      <c r="L86" s="48"/>
      <c r="M86" s="48"/>
      <c r="N86" s="48"/>
      <c r="O86" s="48"/>
      <c r="P86" s="48"/>
      <c r="Q86" s="48"/>
      <c r="R86" s="48"/>
      <c r="S86" s="48"/>
      <c r="T86" s="48"/>
      <c r="U86" s="48"/>
      <c r="V86" s="11"/>
      <c r="W86" s="12"/>
    </row>
    <row r="87" ht="15.75" customHeight="1">
      <c r="A87" s="13"/>
      <c r="B87" s="11"/>
      <c r="C87" t="s" s="41">
        <v>49</v>
      </c>
      <c r="D87" s="42"/>
      <c r="E87" s="42"/>
      <c r="F87" s="42"/>
      <c r="G87" s="42"/>
      <c r="H87" s="42"/>
      <c r="I87" s="11"/>
      <c r="J87" s="11"/>
      <c r="K87" s="11"/>
      <c r="L87" s="11"/>
      <c r="M87" s="11"/>
      <c r="N87" s="11"/>
      <c r="O87" s="11"/>
      <c r="P87" s="11"/>
      <c r="Q87" s="11"/>
      <c r="R87" s="11"/>
      <c r="S87" s="11"/>
      <c r="T87" s="11"/>
      <c r="U87" s="11"/>
      <c r="V87" s="11"/>
      <c r="W87" s="12"/>
    </row>
    <row r="88" ht="15.75" customHeight="1">
      <c r="A88" s="13"/>
      <c r="B88" s="11"/>
      <c r="C88" s="40"/>
      <c r="D88" s="40"/>
      <c r="E88" s="40"/>
      <c r="F88" s="40"/>
      <c r="G88" s="40"/>
      <c r="H88" s="40"/>
      <c r="I88" s="40"/>
      <c r="J88" s="40"/>
      <c r="K88" s="40"/>
      <c r="L88" s="40"/>
      <c r="M88" s="40"/>
      <c r="N88" s="40"/>
      <c r="O88" t="s" s="64">
        <v>26</v>
      </c>
      <c r="P88" s="11"/>
      <c r="Q88" s="11"/>
      <c r="R88" s="11"/>
      <c r="S88" s="11"/>
      <c r="T88" s="11"/>
      <c r="U88" s="11"/>
      <c r="V88" s="11"/>
      <c r="W88" s="12"/>
    </row>
    <row r="89" ht="20.1" customHeight="1">
      <c r="A89" s="13"/>
      <c r="B89" s="50"/>
      <c r="C89" s="65"/>
      <c r="D89" s="66"/>
      <c r="E89" s="66"/>
      <c r="F89" s="66"/>
      <c r="G89" s="66"/>
      <c r="H89" s="66"/>
      <c r="I89" s="66"/>
      <c r="J89" s="66"/>
      <c r="K89" s="66"/>
      <c r="L89" s="66"/>
      <c r="M89" s="66"/>
      <c r="N89" s="66"/>
      <c r="O89" s="67"/>
      <c r="P89" s="47"/>
      <c r="Q89" s="11"/>
      <c r="R89" s="11"/>
      <c r="S89" s="11"/>
      <c r="T89" s="11"/>
      <c r="U89" s="11"/>
      <c r="V89" s="11"/>
      <c r="W89" s="12"/>
    </row>
    <row r="90" ht="15.75" customHeight="1">
      <c r="A90" s="13"/>
      <c r="B90" s="11"/>
      <c r="C90" s="59"/>
      <c r="D90" s="59"/>
      <c r="E90" s="59"/>
      <c r="F90" s="59"/>
      <c r="G90" s="59"/>
      <c r="H90" s="59"/>
      <c r="I90" s="59"/>
      <c r="J90" s="59"/>
      <c r="K90" s="59"/>
      <c r="L90" s="59"/>
      <c r="M90" s="59"/>
      <c r="N90" s="59"/>
      <c r="O90" s="59"/>
      <c r="P90" s="40"/>
      <c r="Q90" s="40"/>
      <c r="R90" s="40"/>
      <c r="S90" s="40"/>
      <c r="T90" s="40"/>
      <c r="U90" s="40"/>
      <c r="V90" s="11"/>
      <c r="W90" s="12"/>
    </row>
    <row r="91" ht="33.95" customHeight="1">
      <c r="A91" s="13"/>
      <c r="B91" s="50"/>
      <c r="C91" s="85"/>
      <c r="D91" s="86"/>
      <c r="E91" s="86"/>
      <c r="F91" s="86"/>
      <c r="G91" s="86"/>
      <c r="H91" s="86"/>
      <c r="I91" s="86"/>
      <c r="J91" s="86"/>
      <c r="K91" s="86"/>
      <c r="L91" s="86"/>
      <c r="M91" s="86"/>
      <c r="N91" s="86"/>
      <c r="O91" s="86"/>
      <c r="P91" s="86"/>
      <c r="Q91" s="86"/>
      <c r="R91" s="86"/>
      <c r="S91" s="86"/>
      <c r="T91" s="86"/>
      <c r="U91" s="87"/>
      <c r="V91" s="47"/>
      <c r="W91" s="12"/>
    </row>
    <row r="92" ht="15.75" customHeight="1">
      <c r="A92" s="13"/>
      <c r="B92" s="11"/>
      <c r="C92" s="48"/>
      <c r="D92" s="48"/>
      <c r="E92" s="48"/>
      <c r="F92" s="48"/>
      <c r="G92" s="48"/>
      <c r="H92" s="48"/>
      <c r="I92" s="48"/>
      <c r="J92" s="48"/>
      <c r="K92" s="48"/>
      <c r="L92" s="48"/>
      <c r="M92" s="48"/>
      <c r="N92" s="48"/>
      <c r="O92" s="48"/>
      <c r="P92" s="48"/>
      <c r="Q92" s="48"/>
      <c r="R92" s="48"/>
      <c r="S92" s="48"/>
      <c r="T92" s="48"/>
      <c r="U92" s="48"/>
      <c r="V92" s="11"/>
      <c r="W92" s="12"/>
    </row>
    <row r="93" ht="21" customHeight="1">
      <c r="A93" s="36"/>
      <c r="B93" s="37"/>
      <c r="C93" t="s" s="38">
        <v>50</v>
      </c>
      <c r="D93" s="39"/>
      <c r="E93" s="39"/>
      <c r="F93" s="39"/>
      <c r="G93" s="39"/>
      <c r="H93" s="39"/>
      <c r="I93" s="39"/>
      <c r="J93" s="39"/>
      <c r="K93" s="39"/>
      <c r="L93" s="39"/>
      <c r="M93" s="39"/>
      <c r="N93" s="39"/>
      <c r="O93" s="39"/>
      <c r="P93" s="39"/>
      <c r="Q93" s="39"/>
      <c r="R93" s="39"/>
      <c r="S93" s="39"/>
      <c r="T93" s="39"/>
      <c r="U93" s="39"/>
      <c r="V93" s="11"/>
      <c r="W93" s="12"/>
    </row>
    <row r="94" ht="15.75" customHeight="1">
      <c r="A94" s="13"/>
      <c r="B94" s="11"/>
      <c r="C94" s="11"/>
      <c r="D94" s="11"/>
      <c r="E94" s="11"/>
      <c r="F94" s="11"/>
      <c r="G94" s="11"/>
      <c r="H94" s="11"/>
      <c r="I94" s="11"/>
      <c r="J94" s="11"/>
      <c r="K94" s="11"/>
      <c r="L94" s="11"/>
      <c r="M94" s="11"/>
      <c r="N94" s="11"/>
      <c r="O94" s="11"/>
      <c r="P94" s="11"/>
      <c r="Q94" s="11"/>
      <c r="R94" s="11"/>
      <c r="S94" s="11"/>
      <c r="T94" s="11"/>
      <c r="U94" s="11"/>
      <c r="V94" s="11"/>
      <c r="W94" s="12"/>
    </row>
    <row r="95" ht="15.75" customHeight="1">
      <c r="A95" s="13"/>
      <c r="B95" s="11"/>
      <c r="C95" t="s" s="41">
        <v>51</v>
      </c>
      <c r="D95" s="42"/>
      <c r="E95" s="42"/>
      <c r="F95" s="42"/>
      <c r="G95" s="42"/>
      <c r="H95" s="42"/>
      <c r="I95" s="11"/>
      <c r="J95" s="11"/>
      <c r="K95" s="11"/>
      <c r="L95" s="11"/>
      <c r="M95" s="11"/>
      <c r="N95" s="11"/>
      <c r="O95" s="11"/>
      <c r="P95" s="11"/>
      <c r="Q95" s="11"/>
      <c r="R95" s="11"/>
      <c r="S95" s="11"/>
      <c r="T95" s="11"/>
      <c r="U95" s="11"/>
      <c r="V95" s="11"/>
      <c r="W95" s="12"/>
    </row>
    <row r="96" ht="15.75" customHeight="1">
      <c r="A96" s="13"/>
      <c r="B96" s="11"/>
      <c r="C96" s="63"/>
      <c r="D96" s="42"/>
      <c r="E96" s="84"/>
      <c r="F96" s="84"/>
      <c r="G96" s="84"/>
      <c r="H96" s="84"/>
      <c r="I96" s="40"/>
      <c r="J96" s="40"/>
      <c r="K96" s="40"/>
      <c r="L96" s="11"/>
      <c r="M96" s="11"/>
      <c r="N96" s="11"/>
      <c r="O96" s="40"/>
      <c r="P96" s="40"/>
      <c r="Q96" s="40"/>
      <c r="R96" s="40"/>
      <c r="S96" s="40"/>
      <c r="T96" s="40"/>
      <c r="U96" s="40"/>
      <c r="V96" s="11"/>
      <c r="W96" s="12"/>
    </row>
    <row r="97" ht="20.1" customHeight="1">
      <c r="A97" s="13"/>
      <c r="B97" s="11"/>
      <c r="C97" t="s" s="49">
        <v>15</v>
      </c>
      <c r="D97" s="50"/>
      <c r="E97" s="51"/>
      <c r="F97" s="52"/>
      <c r="G97" s="52"/>
      <c r="H97" s="52"/>
      <c r="I97" s="52"/>
      <c r="J97" s="52"/>
      <c r="K97" s="53"/>
      <c r="L97" s="47"/>
      <c r="M97" t="s" s="54">
        <v>16</v>
      </c>
      <c r="N97" s="55"/>
      <c r="O97" s="51"/>
      <c r="P97" s="52"/>
      <c r="Q97" s="52"/>
      <c r="R97" s="52"/>
      <c r="S97" s="52"/>
      <c r="T97" s="52"/>
      <c r="U97" s="53"/>
      <c r="V97" s="47"/>
      <c r="W97" s="12"/>
    </row>
    <row r="98" ht="15.75" customHeight="1">
      <c r="A98" s="13"/>
      <c r="B98" s="11"/>
      <c r="C98" s="11"/>
      <c r="D98" s="11"/>
      <c r="E98" s="59"/>
      <c r="F98" s="59"/>
      <c r="G98" s="59"/>
      <c r="H98" s="59"/>
      <c r="I98" s="59"/>
      <c r="J98" s="59"/>
      <c r="K98" s="59"/>
      <c r="L98" s="40"/>
      <c r="M98" s="40"/>
      <c r="N98" s="40"/>
      <c r="O98" s="59"/>
      <c r="P98" s="59"/>
      <c r="Q98" s="59"/>
      <c r="R98" s="59"/>
      <c r="S98" s="59"/>
      <c r="T98" s="59"/>
      <c r="U98" s="59"/>
      <c r="V98" s="11"/>
      <c r="W98" s="12"/>
    </row>
    <row r="99" ht="19.5" customHeight="1">
      <c r="A99" s="13"/>
      <c r="B99" s="11"/>
      <c r="C99" t="s" s="54">
        <v>52</v>
      </c>
      <c r="D99" s="55"/>
      <c r="E99" s="91"/>
      <c r="F99" s="92"/>
      <c r="G99" s="92"/>
      <c r="H99" s="92"/>
      <c r="I99" s="92"/>
      <c r="J99" s="92"/>
      <c r="K99" s="92"/>
      <c r="L99" s="92"/>
      <c r="M99" s="92"/>
      <c r="N99" s="92"/>
      <c r="O99" s="92"/>
      <c r="P99" s="92"/>
      <c r="Q99" s="92"/>
      <c r="R99" s="92"/>
      <c r="S99" s="92"/>
      <c r="T99" s="92"/>
      <c r="U99" s="93"/>
      <c r="V99" s="47"/>
      <c r="W99" s="12"/>
    </row>
    <row r="100" ht="15.75" customHeight="1">
      <c r="A100" s="13"/>
      <c r="B100" s="11"/>
      <c r="C100" s="63"/>
      <c r="D100" s="42"/>
      <c r="E100" s="94"/>
      <c r="F100" s="94"/>
      <c r="G100" s="94"/>
      <c r="H100" s="94"/>
      <c r="I100" s="59"/>
      <c r="J100" s="59"/>
      <c r="K100" s="59"/>
      <c r="L100" s="48"/>
      <c r="M100" s="48"/>
      <c r="N100" s="48"/>
      <c r="O100" s="59"/>
      <c r="P100" s="59"/>
      <c r="Q100" s="59"/>
      <c r="R100" s="59"/>
      <c r="S100" s="59"/>
      <c r="T100" s="59"/>
      <c r="U100" s="59"/>
      <c r="V100" s="11"/>
      <c r="W100" s="12"/>
    </row>
    <row r="101" ht="20.1" customHeight="1">
      <c r="A101" s="13"/>
      <c r="B101" s="11"/>
      <c r="C101" t="s" s="49">
        <v>15</v>
      </c>
      <c r="D101" s="50"/>
      <c r="E101" s="51"/>
      <c r="F101" s="52"/>
      <c r="G101" s="52"/>
      <c r="H101" s="52"/>
      <c r="I101" s="52"/>
      <c r="J101" s="52"/>
      <c r="K101" s="53"/>
      <c r="L101" s="47"/>
      <c r="M101" t="s" s="54">
        <v>16</v>
      </c>
      <c r="N101" s="55"/>
      <c r="O101" s="51"/>
      <c r="P101" s="52"/>
      <c r="Q101" s="52"/>
      <c r="R101" s="52"/>
      <c r="S101" s="52"/>
      <c r="T101" s="52"/>
      <c r="U101" s="53"/>
      <c r="V101" s="47"/>
      <c r="W101" s="12"/>
    </row>
    <row r="102" ht="15.75" customHeight="1">
      <c r="A102" s="13"/>
      <c r="B102" s="11"/>
      <c r="C102" s="11"/>
      <c r="D102" s="11"/>
      <c r="E102" s="59"/>
      <c r="F102" s="59"/>
      <c r="G102" s="59"/>
      <c r="H102" s="59"/>
      <c r="I102" s="59"/>
      <c r="J102" s="59"/>
      <c r="K102" s="59"/>
      <c r="L102" s="40"/>
      <c r="M102" s="40"/>
      <c r="N102" s="40"/>
      <c r="O102" s="59"/>
      <c r="P102" s="59"/>
      <c r="Q102" s="59"/>
      <c r="R102" s="59"/>
      <c r="S102" s="59"/>
      <c r="T102" s="59"/>
      <c r="U102" s="59"/>
      <c r="V102" s="11"/>
      <c r="W102" s="12"/>
    </row>
    <row r="103" ht="19.5" customHeight="1">
      <c r="A103" s="13"/>
      <c r="B103" s="11"/>
      <c r="C103" t="s" s="54">
        <v>52</v>
      </c>
      <c r="D103" s="55"/>
      <c r="E103" s="91"/>
      <c r="F103" s="92"/>
      <c r="G103" s="92"/>
      <c r="H103" s="92"/>
      <c r="I103" s="92"/>
      <c r="J103" s="92"/>
      <c r="K103" s="92"/>
      <c r="L103" s="92"/>
      <c r="M103" s="92"/>
      <c r="N103" s="92"/>
      <c r="O103" s="92"/>
      <c r="P103" s="92"/>
      <c r="Q103" s="92"/>
      <c r="R103" s="92"/>
      <c r="S103" s="92"/>
      <c r="T103" s="92"/>
      <c r="U103" s="93"/>
      <c r="V103" s="47"/>
      <c r="W103" s="12"/>
    </row>
    <row r="104" ht="15.75" customHeight="1">
      <c r="A104" s="13"/>
      <c r="B104" s="11"/>
      <c r="C104" s="63"/>
      <c r="D104" s="42"/>
      <c r="E104" s="94"/>
      <c r="F104" s="94"/>
      <c r="G104" s="94"/>
      <c r="H104" s="94"/>
      <c r="I104" s="59"/>
      <c r="J104" s="59"/>
      <c r="K104" s="59"/>
      <c r="L104" s="48"/>
      <c r="M104" s="48"/>
      <c r="N104" s="48"/>
      <c r="O104" s="59"/>
      <c r="P104" s="59"/>
      <c r="Q104" s="59"/>
      <c r="R104" s="59"/>
      <c r="S104" s="59"/>
      <c r="T104" s="59"/>
      <c r="U104" s="59"/>
      <c r="V104" s="11"/>
      <c r="W104" s="12"/>
    </row>
    <row r="105" ht="20.1" customHeight="1">
      <c r="A105" s="13"/>
      <c r="B105" s="11"/>
      <c r="C105" t="s" s="49">
        <v>15</v>
      </c>
      <c r="D105" s="50"/>
      <c r="E105" s="51"/>
      <c r="F105" s="52"/>
      <c r="G105" s="52"/>
      <c r="H105" s="52"/>
      <c r="I105" s="52"/>
      <c r="J105" s="52"/>
      <c r="K105" s="53"/>
      <c r="L105" s="47"/>
      <c r="M105" t="s" s="54">
        <v>16</v>
      </c>
      <c r="N105" s="55"/>
      <c r="O105" s="51"/>
      <c r="P105" s="52"/>
      <c r="Q105" s="52"/>
      <c r="R105" s="52"/>
      <c r="S105" s="52"/>
      <c r="T105" s="52"/>
      <c r="U105" s="53"/>
      <c r="V105" s="47"/>
      <c r="W105" s="12"/>
    </row>
    <row r="106" ht="15.75" customHeight="1">
      <c r="A106" s="13"/>
      <c r="B106" s="11"/>
      <c r="C106" s="11"/>
      <c r="D106" s="11"/>
      <c r="E106" s="59"/>
      <c r="F106" s="59"/>
      <c r="G106" s="59"/>
      <c r="H106" s="59"/>
      <c r="I106" s="59"/>
      <c r="J106" s="59"/>
      <c r="K106" s="59"/>
      <c r="L106" s="40"/>
      <c r="M106" s="40"/>
      <c r="N106" s="40"/>
      <c r="O106" s="59"/>
      <c r="P106" s="59"/>
      <c r="Q106" s="59"/>
      <c r="R106" s="59"/>
      <c r="S106" s="59"/>
      <c r="T106" s="59"/>
      <c r="U106" s="59"/>
      <c r="V106" s="11"/>
      <c r="W106" s="12"/>
    </row>
    <row r="107" ht="19.5" customHeight="1">
      <c r="A107" s="13"/>
      <c r="B107" s="11"/>
      <c r="C107" t="s" s="54">
        <v>52</v>
      </c>
      <c r="D107" s="55"/>
      <c r="E107" s="91"/>
      <c r="F107" s="92"/>
      <c r="G107" s="92"/>
      <c r="H107" s="92"/>
      <c r="I107" s="92"/>
      <c r="J107" s="92"/>
      <c r="K107" s="92"/>
      <c r="L107" s="92"/>
      <c r="M107" s="92"/>
      <c r="N107" s="92"/>
      <c r="O107" s="92"/>
      <c r="P107" s="92"/>
      <c r="Q107" s="92"/>
      <c r="R107" s="92"/>
      <c r="S107" s="92"/>
      <c r="T107" s="92"/>
      <c r="U107" s="93"/>
      <c r="V107" s="47"/>
      <c r="W107" s="12"/>
    </row>
    <row r="108" ht="15.75" customHeight="1">
      <c r="A108" s="13"/>
      <c r="B108" s="11"/>
      <c r="C108" s="63"/>
      <c r="D108" s="42"/>
      <c r="E108" s="94"/>
      <c r="F108" s="94"/>
      <c r="G108" s="94"/>
      <c r="H108" s="94"/>
      <c r="I108" s="59"/>
      <c r="J108" s="59"/>
      <c r="K108" s="59"/>
      <c r="L108" s="48"/>
      <c r="M108" s="48"/>
      <c r="N108" s="48"/>
      <c r="O108" s="59"/>
      <c r="P108" s="59"/>
      <c r="Q108" s="59"/>
      <c r="R108" s="59"/>
      <c r="S108" s="59"/>
      <c r="T108" s="59"/>
      <c r="U108" s="59"/>
      <c r="V108" s="11"/>
      <c r="W108" s="12"/>
    </row>
    <row r="109" ht="20.1" customHeight="1">
      <c r="A109" s="13"/>
      <c r="B109" s="11"/>
      <c r="C109" t="s" s="49">
        <v>15</v>
      </c>
      <c r="D109" s="50"/>
      <c r="E109" s="51"/>
      <c r="F109" s="52"/>
      <c r="G109" s="52"/>
      <c r="H109" s="52"/>
      <c r="I109" s="52"/>
      <c r="J109" s="52"/>
      <c r="K109" s="53"/>
      <c r="L109" s="47"/>
      <c r="M109" t="s" s="54">
        <v>16</v>
      </c>
      <c r="N109" s="55"/>
      <c r="O109" s="51"/>
      <c r="P109" s="52"/>
      <c r="Q109" s="52"/>
      <c r="R109" s="52"/>
      <c r="S109" s="52"/>
      <c r="T109" s="52"/>
      <c r="U109" s="53"/>
      <c r="V109" s="47"/>
      <c r="W109" s="12"/>
    </row>
    <row r="110" ht="15.75" customHeight="1">
      <c r="A110" s="13"/>
      <c r="B110" s="11"/>
      <c r="C110" s="11"/>
      <c r="D110" s="11"/>
      <c r="E110" s="59"/>
      <c r="F110" s="59"/>
      <c r="G110" s="59"/>
      <c r="H110" s="59"/>
      <c r="I110" s="59"/>
      <c r="J110" s="59"/>
      <c r="K110" s="59"/>
      <c r="L110" s="40"/>
      <c r="M110" s="40"/>
      <c r="N110" s="40"/>
      <c r="O110" s="59"/>
      <c r="P110" s="59"/>
      <c r="Q110" s="59"/>
      <c r="R110" s="59"/>
      <c r="S110" s="59"/>
      <c r="T110" s="59"/>
      <c r="U110" s="59"/>
      <c r="V110" s="11"/>
      <c r="W110" s="12"/>
    </row>
    <row r="111" ht="19.5" customHeight="1">
      <c r="A111" s="13"/>
      <c r="B111" s="11"/>
      <c r="C111" t="s" s="54">
        <v>52</v>
      </c>
      <c r="D111" s="55"/>
      <c r="E111" s="91"/>
      <c r="F111" s="92"/>
      <c r="G111" s="92"/>
      <c r="H111" s="92"/>
      <c r="I111" s="92"/>
      <c r="J111" s="92"/>
      <c r="K111" s="92"/>
      <c r="L111" s="92"/>
      <c r="M111" s="92"/>
      <c r="N111" s="92"/>
      <c r="O111" s="92"/>
      <c r="P111" s="92"/>
      <c r="Q111" s="92"/>
      <c r="R111" s="92"/>
      <c r="S111" s="92"/>
      <c r="T111" s="92"/>
      <c r="U111" s="93"/>
      <c r="V111" s="47"/>
      <c r="W111" s="12"/>
    </row>
    <row r="112" ht="15.75" customHeight="1">
      <c r="A112" s="13"/>
      <c r="B112" s="11"/>
      <c r="C112" s="11"/>
      <c r="D112" s="11"/>
      <c r="E112" s="48"/>
      <c r="F112" s="48"/>
      <c r="G112" s="48"/>
      <c r="H112" s="48"/>
      <c r="I112" s="48"/>
      <c r="J112" s="48"/>
      <c r="K112" s="48"/>
      <c r="L112" s="48"/>
      <c r="M112" s="48"/>
      <c r="N112" s="48"/>
      <c r="O112" s="48"/>
      <c r="P112" s="48"/>
      <c r="Q112" s="48"/>
      <c r="R112" s="48"/>
      <c r="S112" s="48"/>
      <c r="T112" s="48"/>
      <c r="U112" s="48"/>
      <c r="V112" s="11"/>
      <c r="W112" s="12"/>
    </row>
    <row r="113" ht="15.75" customHeight="1">
      <c r="A113" t="s" s="95">
        <v>53</v>
      </c>
      <c r="B113" s="96">
        <v>1</v>
      </c>
      <c r="C113" t="s" s="97">
        <f>CONCATENATE(A113,B113)</f>
        <v>54</v>
      </c>
      <c r="D113" t="s" s="41">
        <v>55</v>
      </c>
      <c r="E113" s="42"/>
      <c r="F113" s="42"/>
      <c r="G113" s="42"/>
      <c r="H113" s="42"/>
      <c r="I113" s="98"/>
      <c r="J113" s="98"/>
      <c r="K113" s="98"/>
      <c r="L113" s="98"/>
      <c r="M113" s="98"/>
      <c r="N113" s="98"/>
      <c r="O113" s="98"/>
      <c r="P113" s="98"/>
      <c r="Q113" s="98"/>
      <c r="R113" s="98"/>
      <c r="S113" s="98"/>
      <c r="T113" s="98"/>
      <c r="U113" s="98"/>
      <c r="V113" s="11"/>
      <c r="W113" s="12"/>
    </row>
    <row r="114" ht="15.75" customHeight="1">
      <c r="A114" s="13"/>
      <c r="B114" s="11"/>
      <c r="C114" s="40"/>
      <c r="D114" s="40"/>
      <c r="E114" s="40"/>
      <c r="F114" s="40"/>
      <c r="G114" s="40"/>
      <c r="H114" s="40"/>
      <c r="I114" s="40"/>
      <c r="J114" s="40"/>
      <c r="K114" s="40"/>
      <c r="L114" s="40"/>
      <c r="M114" s="40"/>
      <c r="N114" s="40"/>
      <c r="O114" s="40"/>
      <c r="P114" s="40"/>
      <c r="Q114" s="40"/>
      <c r="R114" s="40"/>
      <c r="S114" s="40"/>
      <c r="T114" s="11"/>
      <c r="U114" s="11"/>
      <c r="V114" s="11"/>
      <c r="W114" s="12"/>
    </row>
    <row r="115" ht="90" customHeight="1">
      <c r="A115" s="13"/>
      <c r="B115" s="50"/>
      <c r="C115" s="85"/>
      <c r="D115" s="86"/>
      <c r="E115" s="86"/>
      <c r="F115" s="86"/>
      <c r="G115" s="86"/>
      <c r="H115" s="86"/>
      <c r="I115" s="86"/>
      <c r="J115" s="86"/>
      <c r="K115" s="86"/>
      <c r="L115" s="86"/>
      <c r="M115" s="86"/>
      <c r="N115" s="86"/>
      <c r="O115" s="86"/>
      <c r="P115" s="86"/>
      <c r="Q115" s="86"/>
      <c r="R115" s="86"/>
      <c r="S115" s="87"/>
      <c r="T115" s="47"/>
      <c r="U115" s="11"/>
      <c r="V115" s="11"/>
      <c r="W115" s="12"/>
    </row>
    <row r="116" ht="15.75" customHeight="1">
      <c r="A116" s="13"/>
      <c r="B116" s="11"/>
      <c r="C116" s="48"/>
      <c r="D116" s="48"/>
      <c r="E116" s="48"/>
      <c r="F116" s="48"/>
      <c r="G116" s="48"/>
      <c r="H116" s="48"/>
      <c r="I116" s="48"/>
      <c r="J116" s="48"/>
      <c r="K116" s="48"/>
      <c r="L116" s="48"/>
      <c r="M116" s="48"/>
      <c r="N116" s="48"/>
      <c r="O116" s="48"/>
      <c r="P116" s="48"/>
      <c r="Q116" s="48"/>
      <c r="R116" s="48"/>
      <c r="S116" s="48"/>
      <c r="T116" s="11"/>
      <c r="U116" s="11"/>
      <c r="V116" s="11"/>
      <c r="W116" s="12"/>
    </row>
    <row r="117" ht="30" customHeight="1">
      <c r="A117" t="s" s="95">
        <v>53</v>
      </c>
      <c r="B117" s="96">
        <v>2</v>
      </c>
      <c r="C117" t="s" s="99">
        <f>CONCATENATE(A117,B117)</f>
        <v>56</v>
      </c>
      <c r="D117" t="s" s="100">
        <v>57</v>
      </c>
      <c r="E117" s="101"/>
      <c r="F117" s="101"/>
      <c r="G117" s="101"/>
      <c r="H117" s="101"/>
      <c r="I117" s="101"/>
      <c r="J117" s="101"/>
      <c r="K117" s="101"/>
      <c r="L117" s="101"/>
      <c r="M117" s="101"/>
      <c r="N117" s="101"/>
      <c r="O117" s="101"/>
      <c r="P117" s="101"/>
      <c r="Q117" s="101"/>
      <c r="R117" s="101"/>
      <c r="S117" s="101"/>
      <c r="T117" s="101"/>
      <c r="U117" s="101"/>
      <c r="V117" s="11"/>
      <c r="W117" s="12"/>
    </row>
    <row r="118" ht="15.75" customHeight="1">
      <c r="A118" s="13"/>
      <c r="B118" s="11"/>
      <c r="C118" s="40"/>
      <c r="D118" s="40"/>
      <c r="E118" s="40"/>
      <c r="F118" s="40"/>
      <c r="G118" s="40"/>
      <c r="H118" s="40"/>
      <c r="I118" s="40"/>
      <c r="J118" s="40"/>
      <c r="K118" s="40"/>
      <c r="L118" s="40"/>
      <c r="M118" s="40"/>
      <c r="N118" s="40"/>
      <c r="O118" s="40"/>
      <c r="P118" s="40"/>
      <c r="Q118" s="40"/>
      <c r="R118" s="40"/>
      <c r="S118" s="40"/>
      <c r="T118" s="40"/>
      <c r="U118" s="40"/>
      <c r="V118" s="11"/>
      <c r="W118" s="12"/>
    </row>
    <row r="119" ht="408.95" customHeight="1">
      <c r="A119" s="13"/>
      <c r="B119" s="50"/>
      <c r="C119" s="85"/>
      <c r="D119" s="86"/>
      <c r="E119" s="86"/>
      <c r="F119" s="86"/>
      <c r="G119" s="86"/>
      <c r="H119" s="86"/>
      <c r="I119" s="86"/>
      <c r="J119" s="86"/>
      <c r="K119" s="86"/>
      <c r="L119" s="86"/>
      <c r="M119" s="86"/>
      <c r="N119" s="86"/>
      <c r="O119" s="86"/>
      <c r="P119" s="86"/>
      <c r="Q119" s="86"/>
      <c r="R119" s="86"/>
      <c r="S119" s="86"/>
      <c r="T119" s="86"/>
      <c r="U119" s="87"/>
      <c r="V119" s="47"/>
      <c r="W119" s="12"/>
    </row>
    <row r="120" ht="408.95" customHeight="1">
      <c r="A120" s="13"/>
      <c r="B120" s="50"/>
      <c r="C120" s="85"/>
      <c r="D120" s="86"/>
      <c r="E120" s="86"/>
      <c r="F120" s="86"/>
      <c r="G120" s="86"/>
      <c r="H120" s="86"/>
      <c r="I120" s="86"/>
      <c r="J120" s="86"/>
      <c r="K120" s="86"/>
      <c r="L120" s="86"/>
      <c r="M120" s="86"/>
      <c r="N120" s="86"/>
      <c r="O120" s="86"/>
      <c r="P120" s="86"/>
      <c r="Q120" s="86"/>
      <c r="R120" s="86"/>
      <c r="S120" s="86"/>
      <c r="T120" s="86"/>
      <c r="U120" s="87"/>
      <c r="V120" s="47"/>
      <c r="W120" s="12"/>
    </row>
    <row r="121" ht="15.75" customHeight="1">
      <c r="A121" s="13"/>
      <c r="B121" s="11"/>
      <c r="C121" s="48"/>
      <c r="D121" s="48"/>
      <c r="E121" s="48"/>
      <c r="F121" s="48"/>
      <c r="G121" s="48"/>
      <c r="H121" s="48"/>
      <c r="I121" s="48"/>
      <c r="J121" s="48"/>
      <c r="K121" s="48"/>
      <c r="L121" s="48"/>
      <c r="M121" s="48"/>
      <c r="N121" s="48"/>
      <c r="O121" s="48"/>
      <c r="P121" s="48"/>
      <c r="Q121" s="48"/>
      <c r="R121" s="48"/>
      <c r="S121" s="48"/>
      <c r="T121" s="48"/>
      <c r="U121" s="48"/>
      <c r="V121" s="11"/>
      <c r="W121" s="12"/>
    </row>
    <row r="122" ht="15.75" customHeight="1">
      <c r="A122" s="13"/>
      <c r="B122" s="11"/>
      <c r="C122" t="s" s="102">
        <v>58</v>
      </c>
      <c r="D122" s="103"/>
      <c r="E122" s="103"/>
      <c r="F122" s="103"/>
      <c r="G122" s="103"/>
      <c r="H122" s="103"/>
      <c r="I122" s="103"/>
      <c r="J122" s="40"/>
      <c r="K122" s="40"/>
      <c r="L122" s="40"/>
      <c r="M122" s="40"/>
      <c r="N122" s="40"/>
      <c r="O122" s="40"/>
      <c r="P122" s="40"/>
      <c r="Q122" s="40"/>
      <c r="R122" s="40"/>
      <c r="S122" s="40"/>
      <c r="T122" s="40"/>
      <c r="U122" s="40"/>
      <c r="V122" s="11"/>
      <c r="W122" s="12"/>
    </row>
    <row r="123" ht="25.5" customHeight="1">
      <c r="A123" s="13"/>
      <c r="B123" s="50"/>
      <c r="C123" s="71"/>
      <c r="D123" t="s" s="72">
        <v>59</v>
      </c>
      <c r="E123" s="73"/>
      <c r="F123" s="73"/>
      <c r="G123" s="73"/>
      <c r="H123" s="73"/>
      <c r="I123" s="73"/>
      <c r="J123" s="73"/>
      <c r="K123" s="73"/>
      <c r="L123" s="73"/>
      <c r="M123" s="73"/>
      <c r="N123" s="73"/>
      <c r="O123" s="73"/>
      <c r="P123" s="73"/>
      <c r="Q123" s="73"/>
      <c r="R123" s="73"/>
      <c r="S123" s="73"/>
      <c r="T123" s="73"/>
      <c r="U123" s="74"/>
      <c r="V123" s="47"/>
      <c r="W123" s="12"/>
    </row>
    <row r="124" ht="25.5" customHeight="1">
      <c r="A124" s="13"/>
      <c r="B124" s="50"/>
      <c r="C124" s="75"/>
      <c r="D124" t="s" s="76">
        <v>60</v>
      </c>
      <c r="E124" s="77"/>
      <c r="F124" s="77"/>
      <c r="G124" s="77"/>
      <c r="H124" s="77"/>
      <c r="I124" s="77"/>
      <c r="J124" s="77"/>
      <c r="K124" s="77"/>
      <c r="L124" s="77"/>
      <c r="M124" s="77"/>
      <c r="N124" s="77"/>
      <c r="O124" s="77"/>
      <c r="P124" s="77"/>
      <c r="Q124" s="77"/>
      <c r="R124" s="77"/>
      <c r="S124" s="77"/>
      <c r="T124" s="77"/>
      <c r="U124" s="78"/>
      <c r="V124" s="47"/>
      <c r="W124" s="12"/>
    </row>
    <row r="125" ht="25.5" customHeight="1">
      <c r="A125" s="13"/>
      <c r="B125" s="50"/>
      <c r="C125" s="75"/>
      <c r="D125" t="s" s="76">
        <v>61</v>
      </c>
      <c r="E125" s="77"/>
      <c r="F125" s="77"/>
      <c r="G125" s="77"/>
      <c r="H125" s="77"/>
      <c r="I125" s="77"/>
      <c r="J125" s="77"/>
      <c r="K125" s="77"/>
      <c r="L125" s="77"/>
      <c r="M125" s="77"/>
      <c r="N125" s="77"/>
      <c r="O125" s="77"/>
      <c r="P125" s="77"/>
      <c r="Q125" s="77"/>
      <c r="R125" s="77"/>
      <c r="S125" s="77"/>
      <c r="T125" s="77"/>
      <c r="U125" s="78"/>
      <c r="V125" s="47"/>
      <c r="W125" s="12"/>
    </row>
    <row r="126" ht="25.5" customHeight="1">
      <c r="A126" s="13"/>
      <c r="B126" s="50"/>
      <c r="C126" s="75"/>
      <c r="D126" t="s" s="76">
        <v>62</v>
      </c>
      <c r="E126" s="77"/>
      <c r="F126" s="77"/>
      <c r="G126" s="77"/>
      <c r="H126" s="77"/>
      <c r="I126" s="77"/>
      <c r="J126" s="77"/>
      <c r="K126" s="77"/>
      <c r="L126" s="77"/>
      <c r="M126" s="77"/>
      <c r="N126" s="77"/>
      <c r="O126" s="77"/>
      <c r="P126" s="77"/>
      <c r="Q126" s="77"/>
      <c r="R126" s="77"/>
      <c r="S126" s="77"/>
      <c r="T126" s="77"/>
      <c r="U126" s="78"/>
      <c r="V126" s="47"/>
      <c r="W126" s="12"/>
    </row>
    <row r="127" ht="25.5" customHeight="1">
      <c r="A127" s="13"/>
      <c r="B127" s="50"/>
      <c r="C127" s="75"/>
      <c r="D127" t="s" s="76">
        <v>63</v>
      </c>
      <c r="E127" s="77"/>
      <c r="F127" s="77"/>
      <c r="G127" s="77"/>
      <c r="H127" s="77"/>
      <c r="I127" s="77"/>
      <c r="J127" s="77"/>
      <c r="K127" s="77"/>
      <c r="L127" s="77"/>
      <c r="M127" s="77"/>
      <c r="N127" s="77"/>
      <c r="O127" s="77"/>
      <c r="P127" s="77"/>
      <c r="Q127" s="77"/>
      <c r="R127" s="77"/>
      <c r="S127" s="77"/>
      <c r="T127" s="77"/>
      <c r="U127" s="78"/>
      <c r="V127" s="47"/>
      <c r="W127" s="12"/>
    </row>
    <row r="128" ht="25.5" customHeight="1">
      <c r="A128" s="13"/>
      <c r="B128" s="50"/>
      <c r="C128" s="75"/>
      <c r="D128" t="s" s="76">
        <v>64</v>
      </c>
      <c r="E128" s="77"/>
      <c r="F128" s="77"/>
      <c r="G128" s="77"/>
      <c r="H128" s="77"/>
      <c r="I128" s="77"/>
      <c r="J128" s="77"/>
      <c r="K128" s="77"/>
      <c r="L128" s="77"/>
      <c r="M128" s="77"/>
      <c r="N128" s="77"/>
      <c r="O128" s="77"/>
      <c r="P128" s="77"/>
      <c r="Q128" s="77"/>
      <c r="R128" s="77"/>
      <c r="S128" s="77"/>
      <c r="T128" s="77"/>
      <c r="U128" s="78"/>
      <c r="V128" s="47"/>
      <c r="W128" s="12"/>
    </row>
    <row r="129" ht="25.5" customHeight="1">
      <c r="A129" s="13"/>
      <c r="B129" s="50"/>
      <c r="C129" s="75"/>
      <c r="D129" t="s" s="76">
        <v>65</v>
      </c>
      <c r="E129" s="77"/>
      <c r="F129" s="77"/>
      <c r="G129" s="77"/>
      <c r="H129" s="77"/>
      <c r="I129" s="77"/>
      <c r="J129" s="77"/>
      <c r="K129" s="77"/>
      <c r="L129" s="77"/>
      <c r="M129" s="77"/>
      <c r="N129" s="77"/>
      <c r="O129" s="77"/>
      <c r="P129" s="77"/>
      <c r="Q129" s="77"/>
      <c r="R129" s="77"/>
      <c r="S129" s="77"/>
      <c r="T129" s="77"/>
      <c r="U129" s="78"/>
      <c r="V129" s="47"/>
      <c r="W129" s="12"/>
    </row>
    <row r="130" ht="25.5" customHeight="1">
      <c r="A130" s="13"/>
      <c r="B130" s="50"/>
      <c r="C130" s="75"/>
      <c r="D130" t="s" s="80">
        <v>66</v>
      </c>
      <c r="E130" s="81"/>
      <c r="F130" s="81"/>
      <c r="G130" s="81"/>
      <c r="H130" s="81"/>
      <c r="I130" s="81"/>
      <c r="J130" s="81"/>
      <c r="K130" s="81"/>
      <c r="L130" s="81"/>
      <c r="M130" s="81"/>
      <c r="N130" s="81"/>
      <c r="O130" s="81"/>
      <c r="P130" s="81"/>
      <c r="Q130" s="81"/>
      <c r="R130" s="81"/>
      <c r="S130" s="81"/>
      <c r="T130" s="81"/>
      <c r="U130" s="78"/>
      <c r="V130" s="47"/>
      <c r="W130" s="12"/>
    </row>
    <row r="131" ht="60" customHeight="1">
      <c r="A131" s="13"/>
      <c r="B131" s="50"/>
      <c r="C131" s="104"/>
      <c r="D131" s="105"/>
      <c r="E131" s="106"/>
      <c r="F131" s="106"/>
      <c r="G131" s="106"/>
      <c r="H131" s="106"/>
      <c r="I131" s="106"/>
      <c r="J131" s="106"/>
      <c r="K131" s="106"/>
      <c r="L131" s="106"/>
      <c r="M131" s="106"/>
      <c r="N131" s="106"/>
      <c r="O131" s="106"/>
      <c r="P131" s="106"/>
      <c r="Q131" s="106"/>
      <c r="R131" s="106"/>
      <c r="S131" s="106"/>
      <c r="T131" s="107"/>
      <c r="U131" s="108"/>
      <c r="V131" s="47"/>
      <c r="W131" s="12"/>
    </row>
    <row r="132" ht="8" customHeight="1">
      <c r="A132" s="13"/>
      <c r="B132" s="50"/>
      <c r="C132" s="79"/>
      <c r="D132" s="109"/>
      <c r="E132" s="109"/>
      <c r="F132" s="109"/>
      <c r="G132" s="109"/>
      <c r="H132" s="109"/>
      <c r="I132" s="109"/>
      <c r="J132" s="109"/>
      <c r="K132" s="109"/>
      <c r="L132" s="109"/>
      <c r="M132" s="109"/>
      <c r="N132" s="109"/>
      <c r="O132" s="109"/>
      <c r="P132" s="109"/>
      <c r="Q132" s="109"/>
      <c r="R132" s="109"/>
      <c r="S132" s="109"/>
      <c r="T132" s="109"/>
      <c r="U132" s="82"/>
      <c r="V132" s="47"/>
      <c r="W132" s="12"/>
    </row>
    <row r="133" ht="15.75" customHeight="1">
      <c r="A133" s="13"/>
      <c r="B133" s="11"/>
      <c r="C133" s="48"/>
      <c r="D133" s="48"/>
      <c r="E133" s="48"/>
      <c r="F133" s="48"/>
      <c r="G133" s="48"/>
      <c r="H133" s="48"/>
      <c r="I133" s="48"/>
      <c r="J133" s="48"/>
      <c r="K133" s="48"/>
      <c r="L133" s="48"/>
      <c r="M133" s="48"/>
      <c r="N133" s="48"/>
      <c r="O133" s="48"/>
      <c r="P133" s="48"/>
      <c r="Q133" s="48"/>
      <c r="R133" s="48"/>
      <c r="S133" s="48"/>
      <c r="T133" s="48"/>
      <c r="U133" s="48"/>
      <c r="V133" s="11"/>
      <c r="W133" s="12"/>
    </row>
    <row r="134" ht="15.75" customHeight="1">
      <c r="A134" s="13"/>
      <c r="B134" s="11"/>
      <c r="C134" t="s" s="54">
        <v>67</v>
      </c>
      <c r="D134" s="63"/>
      <c r="E134" s="63"/>
      <c r="F134" s="63"/>
      <c r="G134" s="63"/>
      <c r="H134" s="63"/>
      <c r="I134" s="63"/>
      <c r="J134" s="11"/>
      <c r="K134" s="11"/>
      <c r="L134" s="11"/>
      <c r="M134" s="11"/>
      <c r="N134" s="11"/>
      <c r="O134" s="11"/>
      <c r="P134" s="11"/>
      <c r="Q134" s="11"/>
      <c r="R134" s="11"/>
      <c r="S134" s="11"/>
      <c r="T134" s="11"/>
      <c r="U134" s="11"/>
      <c r="V134" s="11"/>
      <c r="W134" s="12"/>
    </row>
    <row r="135" ht="15.75" customHeight="1">
      <c r="A135" s="13"/>
      <c r="B135" s="11"/>
      <c r="C135" s="40"/>
      <c r="D135" s="40"/>
      <c r="E135" s="40"/>
      <c r="F135" s="40"/>
      <c r="G135" s="40"/>
      <c r="H135" s="40"/>
      <c r="I135" s="40"/>
      <c r="J135" s="40"/>
      <c r="K135" s="40"/>
      <c r="L135" s="40"/>
      <c r="M135" s="40"/>
      <c r="N135" s="40"/>
      <c r="O135" t="s" s="64">
        <v>26</v>
      </c>
      <c r="P135" s="11"/>
      <c r="Q135" s="11"/>
      <c r="R135" s="11"/>
      <c r="S135" s="11"/>
      <c r="T135" s="11"/>
      <c r="U135" s="11"/>
      <c r="V135" s="11"/>
      <c r="W135" s="12"/>
    </row>
    <row r="136" ht="20.1" customHeight="1">
      <c r="A136" s="13"/>
      <c r="B136" s="50"/>
      <c r="C136" s="65"/>
      <c r="D136" s="109"/>
      <c r="E136" s="109"/>
      <c r="F136" s="109"/>
      <c r="G136" s="109"/>
      <c r="H136" s="109"/>
      <c r="I136" s="109"/>
      <c r="J136" s="109"/>
      <c r="K136" s="109"/>
      <c r="L136" s="109"/>
      <c r="M136" s="109"/>
      <c r="N136" s="109"/>
      <c r="O136" s="110"/>
      <c r="P136" s="47"/>
      <c r="Q136" s="11"/>
      <c r="R136" s="11"/>
      <c r="S136" s="11"/>
      <c r="T136" s="11"/>
      <c r="U136" s="11"/>
      <c r="V136" s="11"/>
      <c r="W136" s="12"/>
    </row>
    <row r="137" ht="15.75" customHeight="1">
      <c r="A137" s="13"/>
      <c r="B137" s="11"/>
      <c r="C137" s="48"/>
      <c r="D137" s="48"/>
      <c r="E137" s="48"/>
      <c r="F137" s="48"/>
      <c r="G137" s="48"/>
      <c r="H137" s="48"/>
      <c r="I137" s="48"/>
      <c r="J137" s="48"/>
      <c r="K137" s="48"/>
      <c r="L137" s="48"/>
      <c r="M137" s="48"/>
      <c r="N137" s="48"/>
      <c r="O137" s="48"/>
      <c r="P137" s="11"/>
      <c r="Q137" s="11"/>
      <c r="R137" s="11"/>
      <c r="S137" s="11"/>
      <c r="T137" s="11"/>
      <c r="U137" s="11"/>
      <c r="V137" s="11"/>
      <c r="W137" s="12"/>
    </row>
    <row r="138" ht="15.75" customHeight="1">
      <c r="A138" t="s" s="95">
        <v>53</v>
      </c>
      <c r="B138" s="96">
        <v>3</v>
      </c>
      <c r="C138" t="s" s="97">
        <f>CONCATENATE(A138,B138)</f>
        <v>68</v>
      </c>
      <c r="D138" t="s" s="41">
        <v>69</v>
      </c>
      <c r="E138" s="42"/>
      <c r="F138" s="42"/>
      <c r="G138" s="42"/>
      <c r="H138" s="42"/>
      <c r="I138" s="42"/>
      <c r="J138" s="42"/>
      <c r="K138" s="42"/>
      <c r="L138" s="11"/>
      <c r="M138" s="11"/>
      <c r="N138" s="11"/>
      <c r="O138" s="11"/>
      <c r="P138" s="11"/>
      <c r="Q138" s="11"/>
      <c r="R138" s="11"/>
      <c r="S138" s="11"/>
      <c r="T138" s="11"/>
      <c r="U138" s="11"/>
      <c r="V138" s="11"/>
      <c r="W138" s="12"/>
    </row>
    <row r="139" ht="15.75" customHeight="1">
      <c r="A139" s="13"/>
      <c r="B139" s="11"/>
      <c r="C139" s="111"/>
      <c r="D139" s="84"/>
      <c r="E139" s="84"/>
      <c r="F139" s="84"/>
      <c r="G139" s="84"/>
      <c r="H139" s="84"/>
      <c r="I139" s="84"/>
      <c r="J139" s="84"/>
      <c r="K139" s="84"/>
      <c r="L139" s="40"/>
      <c r="M139" s="40"/>
      <c r="N139" s="40"/>
      <c r="O139" s="40"/>
      <c r="P139" s="40"/>
      <c r="Q139" s="40"/>
      <c r="R139" s="40"/>
      <c r="S139" s="40"/>
      <c r="T139" s="11"/>
      <c r="U139" s="11"/>
      <c r="V139" s="11"/>
      <c r="W139" s="12"/>
    </row>
    <row r="140" ht="60" customHeight="1">
      <c r="A140" s="13"/>
      <c r="B140" s="50"/>
      <c r="C140" s="85"/>
      <c r="D140" s="86"/>
      <c r="E140" s="86"/>
      <c r="F140" s="86"/>
      <c r="G140" s="86"/>
      <c r="H140" s="86"/>
      <c r="I140" s="86"/>
      <c r="J140" s="86"/>
      <c r="K140" s="86"/>
      <c r="L140" s="86"/>
      <c r="M140" s="86"/>
      <c r="N140" s="86"/>
      <c r="O140" s="86"/>
      <c r="P140" s="86"/>
      <c r="Q140" s="86"/>
      <c r="R140" s="86"/>
      <c r="S140" s="87"/>
      <c r="T140" s="47"/>
      <c r="U140" s="11"/>
      <c r="V140" s="11"/>
      <c r="W140" s="12"/>
    </row>
    <row r="141" ht="15.75" customHeight="1">
      <c r="A141" s="13"/>
      <c r="B141" s="11"/>
      <c r="C141" s="48"/>
      <c r="D141" s="48"/>
      <c r="E141" s="48"/>
      <c r="F141" s="48"/>
      <c r="G141" s="48"/>
      <c r="H141" s="48"/>
      <c r="I141" s="48"/>
      <c r="J141" s="48"/>
      <c r="K141" s="48"/>
      <c r="L141" s="48"/>
      <c r="M141" s="48"/>
      <c r="N141" s="48"/>
      <c r="O141" s="48"/>
      <c r="P141" s="48"/>
      <c r="Q141" s="48"/>
      <c r="R141" s="48"/>
      <c r="S141" s="48"/>
      <c r="T141" s="11"/>
      <c r="U141" s="11"/>
      <c r="V141" s="11"/>
      <c r="W141" s="12"/>
    </row>
    <row r="142" ht="15.75" customHeight="1">
      <c r="A142" t="s" s="95">
        <v>53</v>
      </c>
      <c r="B142" s="96">
        <v>4</v>
      </c>
      <c r="C142" t="s" s="97">
        <f>CONCATENATE(A142,B142)</f>
        <v>70</v>
      </c>
      <c r="D142" t="s" s="41">
        <v>71</v>
      </c>
      <c r="E142" s="42"/>
      <c r="F142" s="42"/>
      <c r="G142" s="42"/>
      <c r="H142" s="42"/>
      <c r="I142" s="42"/>
      <c r="J142" s="42"/>
      <c r="K142" s="42"/>
      <c r="L142" s="42"/>
      <c r="M142" s="42"/>
      <c r="N142" s="11"/>
      <c r="O142" s="11"/>
      <c r="P142" s="11"/>
      <c r="Q142" s="11"/>
      <c r="R142" s="11"/>
      <c r="S142" s="11"/>
      <c r="T142" s="11"/>
      <c r="U142" s="11"/>
      <c r="V142" s="11"/>
      <c r="W142" s="12"/>
    </row>
    <row r="143" ht="15.75" customHeight="1">
      <c r="A143" s="13"/>
      <c r="B143" s="11"/>
      <c r="C143" s="11"/>
      <c r="D143" s="11"/>
      <c r="E143" s="11"/>
      <c r="F143" s="11"/>
      <c r="G143" s="11"/>
      <c r="H143" s="11"/>
      <c r="I143" s="11"/>
      <c r="J143" s="11"/>
      <c r="K143" s="11"/>
      <c r="L143" s="11"/>
      <c r="M143" s="11"/>
      <c r="N143" s="11"/>
      <c r="O143" s="11"/>
      <c r="P143" s="11"/>
      <c r="Q143" s="11"/>
      <c r="R143" s="11"/>
      <c r="S143" s="11"/>
      <c r="T143" s="11"/>
      <c r="U143" s="11"/>
      <c r="V143" s="11"/>
      <c r="W143" s="12"/>
    </row>
    <row r="144" ht="15.75" customHeight="1">
      <c r="A144" s="13"/>
      <c r="B144" s="11"/>
      <c r="C144" t="s" s="102">
        <v>72</v>
      </c>
      <c r="D144" s="103"/>
      <c r="E144" s="103"/>
      <c r="F144" s="103"/>
      <c r="G144" s="103"/>
      <c r="H144" s="103"/>
      <c r="I144" s="40"/>
      <c r="J144" s="40"/>
      <c r="K144" s="40"/>
      <c r="L144" s="40"/>
      <c r="M144" s="40"/>
      <c r="N144" s="40"/>
      <c r="O144" s="40"/>
      <c r="P144" s="40"/>
      <c r="Q144" s="40"/>
      <c r="R144" s="40"/>
      <c r="S144" s="40"/>
      <c r="T144" s="40"/>
      <c r="U144" s="40"/>
      <c r="V144" s="11"/>
      <c r="W144" s="12"/>
    </row>
    <row r="145" ht="25.5" customHeight="1">
      <c r="A145" s="13"/>
      <c r="B145" s="50"/>
      <c r="C145" s="71"/>
      <c r="D145" t="s" s="72">
        <v>73</v>
      </c>
      <c r="E145" s="73"/>
      <c r="F145" s="73"/>
      <c r="G145" s="73"/>
      <c r="H145" s="109"/>
      <c r="I145" s="109"/>
      <c r="J145" s="109"/>
      <c r="K145" s="109"/>
      <c r="L145" s="109"/>
      <c r="M145" s="109"/>
      <c r="N145" s="109"/>
      <c r="O145" s="109"/>
      <c r="P145" s="109"/>
      <c r="Q145" s="109"/>
      <c r="R145" s="109"/>
      <c r="S145" s="109"/>
      <c r="T145" s="109"/>
      <c r="U145" s="74"/>
      <c r="V145" s="47"/>
      <c r="W145" s="12"/>
    </row>
    <row r="146" ht="20.1" customHeight="1">
      <c r="A146" s="13"/>
      <c r="B146" s="50"/>
      <c r="C146" s="75"/>
      <c r="D146" s="112"/>
      <c r="E146" t="s" s="76">
        <v>74</v>
      </c>
      <c r="F146" s="77"/>
      <c r="G146" s="78"/>
      <c r="H146" s="113"/>
      <c r="I146" s="114"/>
      <c r="J146" s="114"/>
      <c r="K146" s="114"/>
      <c r="L146" s="114"/>
      <c r="M146" s="114"/>
      <c r="N146" s="114"/>
      <c r="O146" s="114"/>
      <c r="P146" s="114"/>
      <c r="Q146" s="114"/>
      <c r="R146" s="114"/>
      <c r="S146" s="114"/>
      <c r="T146" s="115"/>
      <c r="U146" s="104"/>
      <c r="V146" s="47"/>
      <c r="W146" s="12"/>
    </row>
    <row r="147" ht="25.5" customHeight="1">
      <c r="A147" s="13"/>
      <c r="B147" s="50"/>
      <c r="C147" s="75"/>
      <c r="D147" t="s" s="76">
        <v>75</v>
      </c>
      <c r="E147" s="77"/>
      <c r="F147" s="77"/>
      <c r="G147" s="77"/>
      <c r="H147" s="73"/>
      <c r="I147" s="73"/>
      <c r="J147" s="73"/>
      <c r="K147" s="73"/>
      <c r="L147" s="73"/>
      <c r="M147" s="73"/>
      <c r="N147" s="73"/>
      <c r="O147" s="73"/>
      <c r="P147" s="73"/>
      <c r="Q147" s="73"/>
      <c r="R147" s="73"/>
      <c r="S147" s="73"/>
      <c r="T147" s="73"/>
      <c r="U147" s="78"/>
      <c r="V147" s="47"/>
      <c r="W147" s="12"/>
    </row>
    <row r="148" ht="25.5" customHeight="1">
      <c r="A148" s="13"/>
      <c r="B148" s="50"/>
      <c r="C148" s="75"/>
      <c r="D148" s="112"/>
      <c r="E148" t="s" s="80">
        <v>76</v>
      </c>
      <c r="F148" s="81"/>
      <c r="G148" s="81"/>
      <c r="H148" s="81"/>
      <c r="I148" s="81"/>
      <c r="J148" s="81"/>
      <c r="K148" s="81"/>
      <c r="L148" s="81"/>
      <c r="M148" s="116"/>
      <c r="N148" s="116"/>
      <c r="O148" s="116"/>
      <c r="P148" s="116"/>
      <c r="Q148" s="116"/>
      <c r="R148" s="116"/>
      <c r="S148" s="116"/>
      <c r="T148" s="116"/>
      <c r="U148" s="117"/>
      <c r="V148" s="47"/>
      <c r="W148" s="12"/>
    </row>
    <row r="149" ht="33.95" customHeight="1">
      <c r="A149" s="13"/>
      <c r="B149" s="50"/>
      <c r="C149" s="75"/>
      <c r="D149" s="117"/>
      <c r="E149" s="105"/>
      <c r="F149" s="106"/>
      <c r="G149" s="106"/>
      <c r="H149" s="106"/>
      <c r="I149" s="106"/>
      <c r="J149" s="106"/>
      <c r="K149" s="106"/>
      <c r="L149" s="106"/>
      <c r="M149" s="106"/>
      <c r="N149" s="106"/>
      <c r="O149" s="106"/>
      <c r="P149" s="106"/>
      <c r="Q149" s="106"/>
      <c r="R149" s="106"/>
      <c r="S149" s="106"/>
      <c r="T149" s="107"/>
      <c r="U149" s="104"/>
      <c r="V149" s="47"/>
      <c r="W149" s="12"/>
    </row>
    <row r="150" ht="25.5" customHeight="1">
      <c r="A150" s="13"/>
      <c r="B150" s="50"/>
      <c r="C150" s="75"/>
      <c r="D150" t="s" s="76">
        <v>77</v>
      </c>
      <c r="E150" s="73"/>
      <c r="F150" s="73"/>
      <c r="G150" s="73"/>
      <c r="H150" s="73"/>
      <c r="I150" s="73"/>
      <c r="J150" s="73"/>
      <c r="K150" s="73"/>
      <c r="L150" s="73"/>
      <c r="M150" s="73"/>
      <c r="N150" s="73"/>
      <c r="O150" s="73"/>
      <c r="P150" s="73"/>
      <c r="Q150" s="73"/>
      <c r="R150" s="73"/>
      <c r="S150" s="73"/>
      <c r="T150" s="73"/>
      <c r="U150" s="78"/>
      <c r="V150" s="47"/>
      <c r="W150" s="12"/>
    </row>
    <row r="151" ht="25.5" customHeight="1">
      <c r="A151" s="13"/>
      <c r="B151" s="50"/>
      <c r="C151" s="75"/>
      <c r="D151" t="s" s="80">
        <v>78</v>
      </c>
      <c r="E151" s="81"/>
      <c r="F151" s="81"/>
      <c r="G151" s="81"/>
      <c r="H151" s="81"/>
      <c r="I151" s="81"/>
      <c r="J151" s="81"/>
      <c r="K151" s="81"/>
      <c r="L151" s="81"/>
      <c r="M151" s="81"/>
      <c r="N151" s="81"/>
      <c r="O151" s="81"/>
      <c r="P151" s="81"/>
      <c r="Q151" s="81"/>
      <c r="R151" s="81"/>
      <c r="S151" s="81"/>
      <c r="T151" s="81"/>
      <c r="U151" s="78"/>
      <c r="V151" s="47"/>
      <c r="W151" s="12"/>
    </row>
    <row r="152" ht="20.1" customHeight="1">
      <c r="A152" s="13"/>
      <c r="B152" s="50"/>
      <c r="C152" s="104"/>
      <c r="D152" s="113"/>
      <c r="E152" s="114"/>
      <c r="F152" s="114"/>
      <c r="G152" s="114"/>
      <c r="H152" s="114"/>
      <c r="I152" s="114"/>
      <c r="J152" s="114"/>
      <c r="K152" s="114"/>
      <c r="L152" s="114"/>
      <c r="M152" s="114"/>
      <c r="N152" s="114"/>
      <c r="O152" s="114"/>
      <c r="P152" s="114"/>
      <c r="Q152" s="114"/>
      <c r="R152" s="114"/>
      <c r="S152" s="114"/>
      <c r="T152" s="115"/>
      <c r="U152" s="108"/>
      <c r="V152" s="47"/>
      <c r="W152" s="12"/>
    </row>
    <row r="153" ht="25.5" customHeight="1">
      <c r="A153" s="13"/>
      <c r="B153" s="50"/>
      <c r="C153" s="79"/>
      <c r="D153" t="s" s="66">
        <v>79</v>
      </c>
      <c r="E153" s="109"/>
      <c r="F153" s="109"/>
      <c r="G153" s="109"/>
      <c r="H153" s="109"/>
      <c r="I153" s="109"/>
      <c r="J153" s="109"/>
      <c r="K153" s="109"/>
      <c r="L153" s="109"/>
      <c r="M153" s="109"/>
      <c r="N153" s="109"/>
      <c r="O153" s="109"/>
      <c r="P153" s="109"/>
      <c r="Q153" s="109"/>
      <c r="R153" s="109"/>
      <c r="S153" s="109"/>
      <c r="T153" s="109"/>
      <c r="U153" s="82"/>
      <c r="V153" s="47"/>
      <c r="W153" s="12"/>
    </row>
    <row r="154" ht="15.75" customHeight="1">
      <c r="A154" s="13"/>
      <c r="B154" s="11"/>
      <c r="C154" s="48"/>
      <c r="D154" s="48"/>
      <c r="E154" s="48"/>
      <c r="F154" s="48"/>
      <c r="G154" s="48"/>
      <c r="H154" s="48"/>
      <c r="I154" s="48"/>
      <c r="J154" s="48"/>
      <c r="K154" s="48"/>
      <c r="L154" s="48"/>
      <c r="M154" s="48"/>
      <c r="N154" s="48"/>
      <c r="O154" s="48"/>
      <c r="P154" s="48"/>
      <c r="Q154" s="48"/>
      <c r="R154" s="48"/>
      <c r="S154" s="48"/>
      <c r="T154" s="48"/>
      <c r="U154" s="48"/>
      <c r="V154" s="11"/>
      <c r="W154" s="12"/>
    </row>
    <row r="155" ht="15.75" customHeight="1">
      <c r="A155" s="13"/>
      <c r="B155" s="11"/>
      <c r="C155" t="s" s="41">
        <v>80</v>
      </c>
      <c r="D155" s="42"/>
      <c r="E155" s="42"/>
      <c r="F155" s="42"/>
      <c r="G155" s="42"/>
      <c r="H155" s="42"/>
      <c r="I155" s="42"/>
      <c r="J155" s="42"/>
      <c r="K155" s="11"/>
      <c r="L155" s="11"/>
      <c r="M155" s="11"/>
      <c r="N155" s="11"/>
      <c r="O155" s="11"/>
      <c r="P155" s="11"/>
      <c r="Q155" s="11"/>
      <c r="R155" s="11"/>
      <c r="S155" s="11"/>
      <c r="T155" s="11"/>
      <c r="U155" s="11"/>
      <c r="V155" s="11"/>
      <c r="W155" s="12"/>
    </row>
    <row r="156" ht="15.75" customHeight="1">
      <c r="A156" s="13"/>
      <c r="B156" s="11"/>
      <c r="C156" s="40"/>
      <c r="D156" s="40"/>
      <c r="E156" s="40"/>
      <c r="F156" s="40"/>
      <c r="G156" s="40"/>
      <c r="H156" s="40"/>
      <c r="I156" s="40"/>
      <c r="J156" s="40"/>
      <c r="K156" s="40"/>
      <c r="L156" s="40"/>
      <c r="M156" s="40"/>
      <c r="N156" s="40"/>
      <c r="O156" s="40"/>
      <c r="P156" s="40"/>
      <c r="Q156" s="40"/>
      <c r="R156" s="40"/>
      <c r="S156" s="40"/>
      <c r="T156" s="40"/>
      <c r="U156" s="40"/>
      <c r="V156" s="11"/>
      <c r="W156" s="12"/>
    </row>
    <row r="157" ht="25.5" customHeight="1">
      <c r="A157" s="13"/>
      <c r="B157" s="50"/>
      <c r="C157" s="71"/>
      <c r="D157" t="s" s="118">
        <v>62</v>
      </c>
      <c r="E157" s="119"/>
      <c r="F157" s="119"/>
      <c r="G157" s="119"/>
      <c r="H157" t="s" s="120">
        <v>81</v>
      </c>
      <c r="I157" s="69"/>
      <c r="J157" s="69"/>
      <c r="K157" s="69"/>
      <c r="L157" s="69"/>
      <c r="M157" t="s" s="120">
        <v>82</v>
      </c>
      <c r="N157" s="69"/>
      <c r="O157" s="69"/>
      <c r="P157" s="69"/>
      <c r="Q157" s="69"/>
      <c r="R157" s="69"/>
      <c r="S157" s="69"/>
      <c r="T157" s="69"/>
      <c r="U157" s="121"/>
      <c r="V157" s="47"/>
      <c r="W157" s="12"/>
    </row>
    <row r="158" ht="20.1" customHeight="1">
      <c r="A158" s="13"/>
      <c r="B158" s="50"/>
      <c r="C158" s="75"/>
      <c r="D158" s="112"/>
      <c r="E158" t="s" s="76">
        <v>74</v>
      </c>
      <c r="F158" s="77"/>
      <c r="G158" s="78"/>
      <c r="H158" s="113"/>
      <c r="I158" s="114"/>
      <c r="J158" s="114"/>
      <c r="K158" s="114"/>
      <c r="L158" s="114"/>
      <c r="M158" s="114"/>
      <c r="N158" s="114"/>
      <c r="O158" s="114"/>
      <c r="P158" s="114"/>
      <c r="Q158" s="114"/>
      <c r="R158" s="114"/>
      <c r="S158" s="114"/>
      <c r="T158" s="115"/>
      <c r="U158" s="104"/>
      <c r="V158" s="47"/>
      <c r="W158" s="12"/>
    </row>
    <row r="159" ht="25.5" customHeight="1">
      <c r="A159" s="13"/>
      <c r="B159" s="50"/>
      <c r="C159" s="75"/>
      <c r="D159" t="s" s="80">
        <v>83</v>
      </c>
      <c r="E159" s="81"/>
      <c r="F159" s="81"/>
      <c r="G159" s="81"/>
      <c r="H159" s="109"/>
      <c r="I159" s="109"/>
      <c r="J159" s="109"/>
      <c r="K159" s="109"/>
      <c r="L159" s="109"/>
      <c r="M159" s="109"/>
      <c r="N159" s="109"/>
      <c r="O159" s="109"/>
      <c r="P159" s="109"/>
      <c r="Q159" s="109"/>
      <c r="R159" s="109"/>
      <c r="S159" s="109"/>
      <c r="T159" s="109"/>
      <c r="U159" s="78"/>
      <c r="V159" s="47"/>
      <c r="W159" s="12"/>
    </row>
    <row r="160" ht="20.1" customHeight="1">
      <c r="A160" s="13"/>
      <c r="B160" s="50"/>
      <c r="C160" s="104"/>
      <c r="D160" s="113"/>
      <c r="E160" s="114"/>
      <c r="F160" s="114"/>
      <c r="G160" s="114"/>
      <c r="H160" s="114"/>
      <c r="I160" s="114"/>
      <c r="J160" s="114"/>
      <c r="K160" s="114"/>
      <c r="L160" s="114"/>
      <c r="M160" s="114"/>
      <c r="N160" s="114"/>
      <c r="O160" s="114"/>
      <c r="P160" s="114"/>
      <c r="Q160" s="114"/>
      <c r="R160" s="114"/>
      <c r="S160" s="114"/>
      <c r="T160" s="115"/>
      <c r="U160" s="104"/>
      <c r="V160" s="47"/>
      <c r="W160" s="12"/>
    </row>
    <row r="161" ht="25.5" customHeight="1">
      <c r="A161" s="13"/>
      <c r="B161" s="50"/>
      <c r="C161" s="75"/>
      <c r="D161" t="s" s="66">
        <v>84</v>
      </c>
      <c r="E161" s="109"/>
      <c r="F161" s="109"/>
      <c r="G161" s="109"/>
      <c r="H161" s="109"/>
      <c r="I161" s="109"/>
      <c r="J161" s="109"/>
      <c r="K161" s="109"/>
      <c r="L161" s="109"/>
      <c r="M161" s="109"/>
      <c r="N161" s="109"/>
      <c r="O161" s="109"/>
      <c r="P161" s="109"/>
      <c r="Q161" s="109"/>
      <c r="R161" s="109"/>
      <c r="S161" s="109"/>
      <c r="T161" s="109"/>
      <c r="U161" s="78"/>
      <c r="V161" s="47"/>
      <c r="W161" s="12"/>
    </row>
    <row r="162" ht="20.1" customHeight="1">
      <c r="A162" s="13"/>
      <c r="B162" s="50"/>
      <c r="C162" s="104"/>
      <c r="D162" s="113"/>
      <c r="E162" s="114"/>
      <c r="F162" s="114"/>
      <c r="G162" s="114"/>
      <c r="H162" s="114"/>
      <c r="I162" s="114"/>
      <c r="J162" s="114"/>
      <c r="K162" s="114"/>
      <c r="L162" s="114"/>
      <c r="M162" s="114"/>
      <c r="N162" s="114"/>
      <c r="O162" s="114"/>
      <c r="P162" s="114"/>
      <c r="Q162" s="114"/>
      <c r="R162" s="114"/>
      <c r="S162" s="114"/>
      <c r="T162" s="115"/>
      <c r="U162" s="108"/>
      <c r="V162" s="47"/>
      <c r="W162" s="12"/>
    </row>
    <row r="163" ht="8" customHeight="1">
      <c r="A163" s="13"/>
      <c r="B163" s="50"/>
      <c r="C163" s="79"/>
      <c r="D163" s="109"/>
      <c r="E163" s="109"/>
      <c r="F163" s="109"/>
      <c r="G163" s="109"/>
      <c r="H163" s="109"/>
      <c r="I163" s="109"/>
      <c r="J163" s="109"/>
      <c r="K163" s="109"/>
      <c r="L163" s="109"/>
      <c r="M163" s="109"/>
      <c r="N163" s="109"/>
      <c r="O163" s="109"/>
      <c r="P163" s="109"/>
      <c r="Q163" s="109"/>
      <c r="R163" s="109"/>
      <c r="S163" s="109"/>
      <c r="T163" s="109"/>
      <c r="U163" s="82"/>
      <c r="V163" s="47"/>
      <c r="W163" s="12"/>
    </row>
    <row r="164" ht="15.75" customHeight="1">
      <c r="A164" s="13"/>
      <c r="B164" s="11"/>
      <c r="C164" s="48"/>
      <c r="D164" s="48"/>
      <c r="E164" s="48"/>
      <c r="F164" s="48"/>
      <c r="G164" s="48"/>
      <c r="H164" s="48"/>
      <c r="I164" s="48"/>
      <c r="J164" s="48"/>
      <c r="K164" s="48"/>
      <c r="L164" s="48"/>
      <c r="M164" s="48"/>
      <c r="N164" s="48"/>
      <c r="O164" s="48"/>
      <c r="P164" s="48"/>
      <c r="Q164" s="48"/>
      <c r="R164" s="48"/>
      <c r="S164" s="48"/>
      <c r="T164" s="48"/>
      <c r="U164" s="48"/>
      <c r="V164" s="11"/>
      <c r="W164" s="12"/>
    </row>
    <row r="165" ht="15.75" customHeight="1">
      <c r="A165" s="13"/>
      <c r="B165" s="11"/>
      <c r="C165" t="s" s="41">
        <v>85</v>
      </c>
      <c r="D165" s="42"/>
      <c r="E165" s="42"/>
      <c r="F165" s="42"/>
      <c r="G165" s="42"/>
      <c r="H165" s="42"/>
      <c r="I165" s="42"/>
      <c r="J165" s="42"/>
      <c r="K165" s="11"/>
      <c r="L165" s="11"/>
      <c r="M165" s="11"/>
      <c r="N165" s="11"/>
      <c r="O165" s="11"/>
      <c r="P165" s="11"/>
      <c r="Q165" s="11"/>
      <c r="R165" s="11"/>
      <c r="S165" s="11"/>
      <c r="T165" s="11"/>
      <c r="U165" s="11"/>
      <c r="V165" s="11"/>
      <c r="W165" s="12"/>
    </row>
    <row r="166" ht="15.75" customHeight="1">
      <c r="A166" s="13"/>
      <c r="B166" s="11"/>
      <c r="C166" s="40"/>
      <c r="D166" s="40"/>
      <c r="E166" s="40"/>
      <c r="F166" s="40"/>
      <c r="G166" s="40"/>
      <c r="H166" s="40"/>
      <c r="I166" s="40"/>
      <c r="J166" s="40"/>
      <c r="K166" s="40"/>
      <c r="L166" s="40"/>
      <c r="M166" s="40"/>
      <c r="N166" s="40"/>
      <c r="O166" s="40"/>
      <c r="P166" s="40"/>
      <c r="Q166" s="40"/>
      <c r="R166" s="40"/>
      <c r="S166" s="40"/>
      <c r="T166" s="40"/>
      <c r="U166" s="40"/>
      <c r="V166" s="11"/>
      <c r="W166" s="12"/>
    </row>
    <row r="167" ht="90" customHeight="1">
      <c r="A167" s="13"/>
      <c r="B167" s="50"/>
      <c r="C167" s="85"/>
      <c r="D167" s="86"/>
      <c r="E167" s="86"/>
      <c r="F167" s="86"/>
      <c r="G167" s="86"/>
      <c r="H167" s="86"/>
      <c r="I167" s="86"/>
      <c r="J167" s="86"/>
      <c r="K167" s="86"/>
      <c r="L167" s="86"/>
      <c r="M167" s="86"/>
      <c r="N167" s="86"/>
      <c r="O167" s="86"/>
      <c r="P167" s="86"/>
      <c r="Q167" s="86"/>
      <c r="R167" s="86"/>
      <c r="S167" s="86"/>
      <c r="T167" s="86"/>
      <c r="U167" s="87"/>
      <c r="V167" s="47"/>
      <c r="W167" s="12"/>
    </row>
    <row r="168" ht="15.75" customHeight="1">
      <c r="A168" s="13"/>
      <c r="B168" s="11"/>
      <c r="C168" s="48"/>
      <c r="D168" s="48"/>
      <c r="E168" s="48"/>
      <c r="F168" s="48"/>
      <c r="G168" s="48"/>
      <c r="H168" s="48"/>
      <c r="I168" s="48"/>
      <c r="J168" s="48"/>
      <c r="K168" s="48"/>
      <c r="L168" s="48"/>
      <c r="M168" s="48"/>
      <c r="N168" s="48"/>
      <c r="O168" s="48"/>
      <c r="P168" s="48"/>
      <c r="Q168" s="48"/>
      <c r="R168" s="48"/>
      <c r="S168" s="48"/>
      <c r="T168" s="48"/>
      <c r="U168" s="48"/>
      <c r="V168" s="11"/>
      <c r="W168" s="12"/>
    </row>
    <row r="169" ht="15.75" customHeight="1">
      <c r="A169" s="13"/>
      <c r="B169" s="11"/>
      <c r="C169" t="s" s="41">
        <v>86</v>
      </c>
      <c r="D169" s="42"/>
      <c r="E169" s="42"/>
      <c r="F169" s="42"/>
      <c r="G169" s="42"/>
      <c r="H169" s="42"/>
      <c r="I169" s="42"/>
      <c r="J169" s="42"/>
      <c r="K169" s="11"/>
      <c r="L169" s="11"/>
      <c r="M169" s="11"/>
      <c r="N169" s="11"/>
      <c r="O169" s="11"/>
      <c r="P169" s="11"/>
      <c r="Q169" s="11"/>
      <c r="R169" s="11"/>
      <c r="S169" s="11"/>
      <c r="T169" s="11"/>
      <c r="U169" s="11"/>
      <c r="V169" s="11"/>
      <c r="W169" s="12"/>
    </row>
    <row r="170" ht="15.75" customHeight="1">
      <c r="A170" s="13"/>
      <c r="B170" s="11"/>
      <c r="C170" s="40"/>
      <c r="D170" s="40"/>
      <c r="E170" s="40"/>
      <c r="F170" s="40"/>
      <c r="G170" s="40"/>
      <c r="H170" s="40"/>
      <c r="I170" s="40"/>
      <c r="J170" s="40"/>
      <c r="K170" s="40"/>
      <c r="L170" s="40"/>
      <c r="M170" s="40"/>
      <c r="N170" s="40"/>
      <c r="O170" t="s" s="64">
        <v>26</v>
      </c>
      <c r="P170" s="11"/>
      <c r="Q170" s="11"/>
      <c r="R170" s="11"/>
      <c r="S170" s="11"/>
      <c r="T170" s="11"/>
      <c r="U170" s="11"/>
      <c r="V170" s="11"/>
      <c r="W170" s="12"/>
    </row>
    <row r="171" ht="20.1" customHeight="1">
      <c r="A171" s="13"/>
      <c r="B171" s="50"/>
      <c r="C171" s="65"/>
      <c r="D171" s="109"/>
      <c r="E171" s="109"/>
      <c r="F171" s="109"/>
      <c r="G171" s="109"/>
      <c r="H171" s="109"/>
      <c r="I171" s="109"/>
      <c r="J171" s="109"/>
      <c r="K171" s="109"/>
      <c r="L171" s="109"/>
      <c r="M171" s="109"/>
      <c r="N171" s="109"/>
      <c r="O171" s="110"/>
      <c r="P171" s="47"/>
      <c r="Q171" s="11"/>
      <c r="R171" s="11"/>
      <c r="S171" s="11"/>
      <c r="T171" s="11"/>
      <c r="U171" s="11"/>
      <c r="V171" s="11"/>
      <c r="W171" s="12"/>
    </row>
    <row r="172" ht="15.75" customHeight="1">
      <c r="A172" s="13"/>
      <c r="B172" s="11"/>
      <c r="C172" s="48"/>
      <c r="D172" s="48"/>
      <c r="E172" s="48"/>
      <c r="F172" s="48"/>
      <c r="G172" s="48"/>
      <c r="H172" s="48"/>
      <c r="I172" s="48"/>
      <c r="J172" s="48"/>
      <c r="K172" s="48"/>
      <c r="L172" s="48"/>
      <c r="M172" s="48"/>
      <c r="N172" s="48"/>
      <c r="O172" s="48"/>
      <c r="P172" s="11"/>
      <c r="Q172" s="11"/>
      <c r="R172" s="11"/>
      <c r="S172" s="11"/>
      <c r="T172" s="11"/>
      <c r="U172" s="11"/>
      <c r="V172" s="11"/>
      <c r="W172" s="12"/>
    </row>
    <row r="173" ht="15.75" customHeight="1">
      <c r="A173" s="13"/>
      <c r="B173" s="11"/>
      <c r="C173" t="s" s="41">
        <v>87</v>
      </c>
      <c r="D173" s="42"/>
      <c r="E173" s="42"/>
      <c r="F173" s="42"/>
      <c r="G173" s="42"/>
      <c r="H173" s="42"/>
      <c r="I173" s="11"/>
      <c r="J173" s="11"/>
      <c r="K173" s="11"/>
      <c r="L173" s="11"/>
      <c r="M173" s="11"/>
      <c r="N173" s="11"/>
      <c r="O173" s="11"/>
      <c r="P173" s="11"/>
      <c r="Q173" s="11"/>
      <c r="R173" s="11"/>
      <c r="S173" s="11"/>
      <c r="T173" s="11"/>
      <c r="U173" s="11"/>
      <c r="V173" s="11"/>
      <c r="W173" s="12"/>
    </row>
    <row r="174" ht="15.75" customHeight="1">
      <c r="A174" s="13"/>
      <c r="B174" s="11"/>
      <c r="C174" s="40"/>
      <c r="D174" s="40"/>
      <c r="E174" s="40"/>
      <c r="F174" s="40"/>
      <c r="G174" s="40"/>
      <c r="H174" s="40"/>
      <c r="I174" s="40"/>
      <c r="J174" s="40"/>
      <c r="K174" s="40"/>
      <c r="L174" s="40"/>
      <c r="M174" s="40"/>
      <c r="N174" s="40"/>
      <c r="O174" t="s" s="64">
        <v>26</v>
      </c>
      <c r="P174" s="11"/>
      <c r="Q174" s="11"/>
      <c r="R174" s="11"/>
      <c r="S174" s="11"/>
      <c r="T174" s="11"/>
      <c r="U174" s="11"/>
      <c r="V174" s="11"/>
      <c r="W174" s="12"/>
    </row>
    <row r="175" ht="20.1" customHeight="1">
      <c r="A175" s="13"/>
      <c r="B175" s="50"/>
      <c r="C175" s="65"/>
      <c r="D175" s="109"/>
      <c r="E175" s="109"/>
      <c r="F175" s="109"/>
      <c r="G175" s="109"/>
      <c r="H175" s="109"/>
      <c r="I175" s="109"/>
      <c r="J175" s="109"/>
      <c r="K175" s="109"/>
      <c r="L175" s="109"/>
      <c r="M175" s="109"/>
      <c r="N175" s="109"/>
      <c r="O175" s="110"/>
      <c r="P175" s="47"/>
      <c r="Q175" s="11"/>
      <c r="R175" s="11"/>
      <c r="S175" s="11"/>
      <c r="T175" s="11"/>
      <c r="U175" s="11"/>
      <c r="V175" s="11"/>
      <c r="W175" s="12"/>
    </row>
    <row r="176" ht="15.75" customHeight="1">
      <c r="A176" s="13"/>
      <c r="B176" s="11"/>
      <c r="C176" s="48"/>
      <c r="D176" s="48"/>
      <c r="E176" s="48"/>
      <c r="F176" s="48"/>
      <c r="G176" s="48"/>
      <c r="H176" s="48"/>
      <c r="I176" s="48"/>
      <c r="J176" s="48"/>
      <c r="K176" s="48"/>
      <c r="L176" s="48"/>
      <c r="M176" s="48"/>
      <c r="N176" s="48"/>
      <c r="O176" s="48"/>
      <c r="P176" s="11"/>
      <c r="Q176" s="11"/>
      <c r="R176" s="11"/>
      <c r="S176" s="11"/>
      <c r="T176" s="11"/>
      <c r="U176" s="11"/>
      <c r="V176" s="11"/>
      <c r="W176" s="12"/>
    </row>
    <row r="177" ht="15.75" customHeight="1">
      <c r="A177" s="13"/>
      <c r="B177" s="11"/>
      <c r="C177" t="s" s="41">
        <v>88</v>
      </c>
      <c r="D177" s="42"/>
      <c r="E177" s="42"/>
      <c r="F177" s="42"/>
      <c r="G177" s="42"/>
      <c r="H177" s="42"/>
      <c r="I177" s="42"/>
      <c r="J177" s="42"/>
      <c r="K177" s="42"/>
      <c r="L177" s="42"/>
      <c r="M177" s="42"/>
      <c r="N177" s="42"/>
      <c r="O177" s="11"/>
      <c r="P177" s="11"/>
      <c r="Q177" s="11"/>
      <c r="R177" s="14"/>
      <c r="S177" s="14"/>
      <c r="T177" s="14"/>
      <c r="U177" s="14"/>
      <c r="V177" s="11"/>
      <c r="W177" s="12"/>
    </row>
    <row r="178" ht="78" customHeight="1">
      <c r="A178" s="13"/>
      <c r="B178" s="11"/>
      <c r="C178" s="14"/>
      <c r="D178" s="14"/>
      <c r="E178" s="14"/>
      <c r="F178" s="14"/>
      <c r="G178" s="14"/>
      <c r="H178" s="14"/>
      <c r="I178" s="14"/>
      <c r="J178" s="14"/>
      <c r="K178" s="14"/>
      <c r="L178" s="14"/>
      <c r="M178" s="14"/>
      <c r="N178" s="14"/>
      <c r="O178" s="14"/>
      <c r="P178" s="14"/>
      <c r="Q178" s="122"/>
      <c r="R178" t="s" s="123">
        <v>89</v>
      </c>
      <c r="S178" s="124"/>
      <c r="T178" s="124"/>
      <c r="U178" s="125"/>
      <c r="V178" s="19"/>
      <c r="W178" s="12"/>
    </row>
    <row r="179" ht="45" customHeight="1">
      <c r="A179" s="13"/>
      <c r="B179" s="15"/>
      <c r="C179" t="s" s="126">
        <v>90</v>
      </c>
      <c r="D179" s="127"/>
      <c r="E179" s="127"/>
      <c r="F179" s="127"/>
      <c r="G179" s="127"/>
      <c r="H179" s="127"/>
      <c r="I179" s="127"/>
      <c r="J179" s="127"/>
      <c r="K179" s="128"/>
      <c r="L179" t="s" s="129">
        <v>91</v>
      </c>
      <c r="M179" s="130"/>
      <c r="N179" s="130"/>
      <c r="O179" t="s" s="131">
        <v>92</v>
      </c>
      <c r="P179" s="132"/>
      <c r="Q179" s="132"/>
      <c r="R179" t="s" s="133">
        <v>93</v>
      </c>
      <c r="S179" s="134"/>
      <c r="T179" s="134"/>
      <c r="U179" s="135"/>
      <c r="V179" s="19"/>
      <c r="W179" s="12"/>
    </row>
    <row r="180" ht="33.95" customHeight="1">
      <c r="A180" s="13"/>
      <c r="B180" s="15"/>
      <c r="C180" t="s" s="136">
        <v>94</v>
      </c>
      <c r="D180" s="137"/>
      <c r="E180" s="138"/>
      <c r="F180" s="139"/>
      <c r="G180" s="140"/>
      <c r="H180" s="140"/>
      <c r="I180" s="140"/>
      <c r="J180" s="140"/>
      <c r="K180" s="141"/>
      <c r="L180" s="142"/>
      <c r="M180" s="143"/>
      <c r="N180" s="144"/>
      <c r="O180" s="142"/>
      <c r="P180" s="143"/>
      <c r="Q180" s="144"/>
      <c r="R180" s="142"/>
      <c r="S180" s="143"/>
      <c r="T180" s="143"/>
      <c r="U180" s="144"/>
      <c r="V180" s="19"/>
      <c r="W180" s="12"/>
    </row>
    <row r="181" ht="20.1" customHeight="1">
      <c r="A181" s="13"/>
      <c r="B181" s="15"/>
      <c r="C181" t="s" s="145">
        <v>10</v>
      </c>
      <c r="D181" s="146"/>
      <c r="E181" s="147"/>
      <c r="F181" s="148"/>
      <c r="G181" s="149"/>
      <c r="H181" s="149"/>
      <c r="I181" s="149"/>
      <c r="J181" s="149"/>
      <c r="K181" s="150"/>
      <c r="L181" s="151"/>
      <c r="M181" s="152"/>
      <c r="N181" s="153"/>
      <c r="O181" s="151"/>
      <c r="P181" s="152"/>
      <c r="Q181" s="153"/>
      <c r="R181" s="151"/>
      <c r="S181" s="152"/>
      <c r="T181" s="152"/>
      <c r="U181" s="153"/>
      <c r="V181" s="19"/>
      <c r="W181" s="12"/>
    </row>
    <row r="182" ht="20.1" customHeight="1">
      <c r="A182" s="13"/>
      <c r="B182" s="15"/>
      <c r="C182" t="s" s="145">
        <v>95</v>
      </c>
      <c r="D182" s="146"/>
      <c r="E182" s="147"/>
      <c r="F182" s="154"/>
      <c r="G182" s="155"/>
      <c r="H182" s="155"/>
      <c r="I182" s="155"/>
      <c r="J182" s="155"/>
      <c r="K182" s="156"/>
      <c r="L182" s="151"/>
      <c r="M182" s="152"/>
      <c r="N182" s="153"/>
      <c r="O182" s="151"/>
      <c r="P182" s="152"/>
      <c r="Q182" s="153"/>
      <c r="R182" s="151"/>
      <c r="S182" s="152"/>
      <c r="T182" s="152"/>
      <c r="U182" s="153"/>
      <c r="V182" s="19"/>
      <c r="W182" s="12"/>
    </row>
    <row r="183" ht="33.95" customHeight="1">
      <c r="A183" s="13"/>
      <c r="B183" s="15"/>
      <c r="C183" t="s" s="145">
        <v>96</v>
      </c>
      <c r="D183" s="146"/>
      <c r="E183" s="147"/>
      <c r="F183" s="157"/>
      <c r="G183" s="158"/>
      <c r="H183" s="158"/>
      <c r="I183" s="158"/>
      <c r="J183" s="158"/>
      <c r="K183" s="159"/>
      <c r="L183" s="151"/>
      <c r="M183" s="152"/>
      <c r="N183" s="153"/>
      <c r="O183" s="151"/>
      <c r="P183" s="152"/>
      <c r="Q183" s="153"/>
      <c r="R183" s="151"/>
      <c r="S183" s="152"/>
      <c r="T183" s="152"/>
      <c r="U183" s="153"/>
      <c r="V183" s="19"/>
      <c r="W183" s="12"/>
    </row>
    <row r="184" ht="20.1" customHeight="1">
      <c r="A184" s="13"/>
      <c r="B184" s="15"/>
      <c r="C184" t="s" s="160">
        <v>97</v>
      </c>
      <c r="D184" s="161"/>
      <c r="E184" s="162"/>
      <c r="F184" s="163"/>
      <c r="G184" s="164"/>
      <c r="H184" s="164"/>
      <c r="I184" s="164"/>
      <c r="J184" s="164"/>
      <c r="K184" s="165"/>
      <c r="L184" s="166"/>
      <c r="M184" s="167"/>
      <c r="N184" s="168"/>
      <c r="O184" s="166"/>
      <c r="P184" s="167"/>
      <c r="Q184" s="168"/>
      <c r="R184" s="166"/>
      <c r="S184" s="167"/>
      <c r="T184" s="167"/>
      <c r="U184" s="168"/>
      <c r="V184" s="19"/>
      <c r="W184" s="12"/>
    </row>
    <row r="185" ht="33.95" customHeight="1">
      <c r="A185" s="13"/>
      <c r="B185" s="15"/>
      <c r="C185" t="s" s="136">
        <v>94</v>
      </c>
      <c r="D185" s="137"/>
      <c r="E185" s="138"/>
      <c r="F185" s="139"/>
      <c r="G185" s="140"/>
      <c r="H185" s="140"/>
      <c r="I185" s="140"/>
      <c r="J185" s="140"/>
      <c r="K185" s="141"/>
      <c r="L185" s="142"/>
      <c r="M185" s="143"/>
      <c r="N185" s="144"/>
      <c r="O185" s="142"/>
      <c r="P185" s="143"/>
      <c r="Q185" s="144"/>
      <c r="R185" s="142"/>
      <c r="S185" s="143"/>
      <c r="T185" s="143"/>
      <c r="U185" s="144"/>
      <c r="V185" s="19"/>
      <c r="W185" s="12"/>
    </row>
    <row r="186" ht="20.1" customHeight="1">
      <c r="A186" s="13"/>
      <c r="B186" s="15"/>
      <c r="C186" t="s" s="145">
        <v>10</v>
      </c>
      <c r="D186" s="146"/>
      <c r="E186" s="147"/>
      <c r="F186" s="148"/>
      <c r="G186" s="149"/>
      <c r="H186" s="149"/>
      <c r="I186" s="149"/>
      <c r="J186" s="149"/>
      <c r="K186" s="150"/>
      <c r="L186" s="151"/>
      <c r="M186" s="152"/>
      <c r="N186" s="153"/>
      <c r="O186" s="151"/>
      <c r="P186" s="152"/>
      <c r="Q186" s="153"/>
      <c r="R186" s="151"/>
      <c r="S186" s="152"/>
      <c r="T186" s="152"/>
      <c r="U186" s="153"/>
      <c r="V186" s="19"/>
      <c r="W186" s="12"/>
    </row>
    <row r="187" ht="20.1" customHeight="1">
      <c r="A187" s="13"/>
      <c r="B187" s="15"/>
      <c r="C187" t="s" s="145">
        <v>95</v>
      </c>
      <c r="D187" s="146"/>
      <c r="E187" s="147"/>
      <c r="F187" s="154"/>
      <c r="G187" s="155"/>
      <c r="H187" s="155"/>
      <c r="I187" s="155"/>
      <c r="J187" s="155"/>
      <c r="K187" s="156"/>
      <c r="L187" s="151"/>
      <c r="M187" s="152"/>
      <c r="N187" s="153"/>
      <c r="O187" s="151"/>
      <c r="P187" s="152"/>
      <c r="Q187" s="153"/>
      <c r="R187" s="151"/>
      <c r="S187" s="152"/>
      <c r="T187" s="152"/>
      <c r="U187" s="153"/>
      <c r="V187" s="19"/>
      <c r="W187" s="12"/>
    </row>
    <row r="188" ht="33.95" customHeight="1">
      <c r="A188" s="13"/>
      <c r="B188" s="15"/>
      <c r="C188" t="s" s="145">
        <v>96</v>
      </c>
      <c r="D188" s="146"/>
      <c r="E188" s="147"/>
      <c r="F188" s="157"/>
      <c r="G188" s="158"/>
      <c r="H188" s="158"/>
      <c r="I188" s="158"/>
      <c r="J188" s="158"/>
      <c r="K188" s="159"/>
      <c r="L188" s="151"/>
      <c r="M188" s="152"/>
      <c r="N188" s="153"/>
      <c r="O188" s="151"/>
      <c r="P188" s="152"/>
      <c r="Q188" s="153"/>
      <c r="R188" s="151"/>
      <c r="S188" s="152"/>
      <c r="T188" s="152"/>
      <c r="U188" s="153"/>
      <c r="V188" s="19"/>
      <c r="W188" s="12"/>
    </row>
    <row r="189" ht="20.1" customHeight="1">
      <c r="A189" s="13"/>
      <c r="B189" s="15"/>
      <c r="C189" t="s" s="160">
        <v>97</v>
      </c>
      <c r="D189" s="161"/>
      <c r="E189" s="162"/>
      <c r="F189" s="163"/>
      <c r="G189" s="164"/>
      <c r="H189" s="164"/>
      <c r="I189" s="164"/>
      <c r="J189" s="164"/>
      <c r="K189" s="165"/>
      <c r="L189" s="166"/>
      <c r="M189" s="167"/>
      <c r="N189" s="168"/>
      <c r="O189" s="166"/>
      <c r="P189" s="167"/>
      <c r="Q189" s="168"/>
      <c r="R189" s="166"/>
      <c r="S189" s="167"/>
      <c r="T189" s="167"/>
      <c r="U189" s="168"/>
      <c r="V189" s="19"/>
      <c r="W189" s="12"/>
    </row>
    <row r="190" ht="33.95" customHeight="1">
      <c r="A190" s="13"/>
      <c r="B190" s="15"/>
      <c r="C190" t="s" s="136">
        <v>94</v>
      </c>
      <c r="D190" s="137"/>
      <c r="E190" s="138"/>
      <c r="F190" s="139"/>
      <c r="G190" s="140"/>
      <c r="H190" s="140"/>
      <c r="I190" s="140"/>
      <c r="J190" s="140"/>
      <c r="K190" s="141"/>
      <c r="L190" s="142"/>
      <c r="M190" s="143"/>
      <c r="N190" s="144"/>
      <c r="O190" s="142"/>
      <c r="P190" s="143"/>
      <c r="Q190" s="144"/>
      <c r="R190" s="142"/>
      <c r="S190" s="143"/>
      <c r="T190" s="143"/>
      <c r="U190" s="144"/>
      <c r="V190" s="19"/>
      <c r="W190" s="12"/>
    </row>
    <row r="191" ht="20.1" customHeight="1">
      <c r="A191" s="13"/>
      <c r="B191" s="15"/>
      <c r="C191" t="s" s="145">
        <v>10</v>
      </c>
      <c r="D191" s="146"/>
      <c r="E191" s="147"/>
      <c r="F191" s="148"/>
      <c r="G191" s="149"/>
      <c r="H191" s="149"/>
      <c r="I191" s="149"/>
      <c r="J191" s="149"/>
      <c r="K191" s="150"/>
      <c r="L191" s="151"/>
      <c r="M191" s="152"/>
      <c r="N191" s="153"/>
      <c r="O191" s="151"/>
      <c r="P191" s="152"/>
      <c r="Q191" s="153"/>
      <c r="R191" s="151"/>
      <c r="S191" s="152"/>
      <c r="T191" s="152"/>
      <c r="U191" s="153"/>
      <c r="V191" s="19"/>
      <c r="W191" s="12"/>
    </row>
    <row r="192" ht="20.1" customHeight="1">
      <c r="A192" s="13"/>
      <c r="B192" s="15"/>
      <c r="C192" t="s" s="145">
        <v>95</v>
      </c>
      <c r="D192" s="146"/>
      <c r="E192" s="147"/>
      <c r="F192" s="154"/>
      <c r="G192" s="155"/>
      <c r="H192" s="155"/>
      <c r="I192" s="155"/>
      <c r="J192" s="155"/>
      <c r="K192" s="156"/>
      <c r="L192" s="151"/>
      <c r="M192" s="152"/>
      <c r="N192" s="153"/>
      <c r="O192" s="151"/>
      <c r="P192" s="152"/>
      <c r="Q192" s="153"/>
      <c r="R192" s="151"/>
      <c r="S192" s="152"/>
      <c r="T192" s="152"/>
      <c r="U192" s="153"/>
      <c r="V192" s="19"/>
      <c r="W192" s="12"/>
    </row>
    <row r="193" ht="33.95" customHeight="1">
      <c r="A193" s="13"/>
      <c r="B193" s="15"/>
      <c r="C193" t="s" s="145">
        <v>96</v>
      </c>
      <c r="D193" s="146"/>
      <c r="E193" s="147"/>
      <c r="F193" s="157"/>
      <c r="G193" s="158"/>
      <c r="H193" s="158"/>
      <c r="I193" s="158"/>
      <c r="J193" s="158"/>
      <c r="K193" s="159"/>
      <c r="L193" s="151"/>
      <c r="M193" s="152"/>
      <c r="N193" s="153"/>
      <c r="O193" s="151"/>
      <c r="P193" s="152"/>
      <c r="Q193" s="153"/>
      <c r="R193" s="151"/>
      <c r="S193" s="152"/>
      <c r="T193" s="152"/>
      <c r="U193" s="153"/>
      <c r="V193" s="19"/>
      <c r="W193" s="12"/>
    </row>
    <row r="194" ht="20.1" customHeight="1">
      <c r="A194" s="13"/>
      <c r="B194" s="15"/>
      <c r="C194" t="s" s="160">
        <v>97</v>
      </c>
      <c r="D194" s="161"/>
      <c r="E194" s="162"/>
      <c r="F194" s="163"/>
      <c r="G194" s="164"/>
      <c r="H194" s="164"/>
      <c r="I194" s="164"/>
      <c r="J194" s="164"/>
      <c r="K194" s="165"/>
      <c r="L194" s="166"/>
      <c r="M194" s="167"/>
      <c r="N194" s="168"/>
      <c r="O194" s="166"/>
      <c r="P194" s="167"/>
      <c r="Q194" s="168"/>
      <c r="R194" s="166"/>
      <c r="S194" s="167"/>
      <c r="T194" s="167"/>
      <c r="U194" s="168"/>
      <c r="V194" s="19"/>
      <c r="W194" s="12"/>
    </row>
    <row r="195" ht="33.95" customHeight="1">
      <c r="A195" s="13"/>
      <c r="B195" s="15"/>
      <c r="C195" t="s" s="136">
        <v>94</v>
      </c>
      <c r="D195" s="137"/>
      <c r="E195" s="138"/>
      <c r="F195" s="139"/>
      <c r="G195" s="140"/>
      <c r="H195" s="140"/>
      <c r="I195" s="140"/>
      <c r="J195" s="140"/>
      <c r="K195" s="141"/>
      <c r="L195" s="142"/>
      <c r="M195" s="143"/>
      <c r="N195" s="144"/>
      <c r="O195" s="142"/>
      <c r="P195" s="143"/>
      <c r="Q195" s="144"/>
      <c r="R195" s="142"/>
      <c r="S195" s="143"/>
      <c r="T195" s="143"/>
      <c r="U195" s="144"/>
      <c r="V195" s="19"/>
      <c r="W195" s="12"/>
    </row>
    <row r="196" ht="20.1" customHeight="1">
      <c r="A196" s="13"/>
      <c r="B196" s="15"/>
      <c r="C196" t="s" s="145">
        <v>10</v>
      </c>
      <c r="D196" s="146"/>
      <c r="E196" s="147"/>
      <c r="F196" s="148"/>
      <c r="G196" s="149"/>
      <c r="H196" s="149"/>
      <c r="I196" s="149"/>
      <c r="J196" s="149"/>
      <c r="K196" s="150"/>
      <c r="L196" s="151"/>
      <c r="M196" s="152"/>
      <c r="N196" s="153"/>
      <c r="O196" s="151"/>
      <c r="P196" s="152"/>
      <c r="Q196" s="153"/>
      <c r="R196" s="151"/>
      <c r="S196" s="152"/>
      <c r="T196" s="152"/>
      <c r="U196" s="153"/>
      <c r="V196" s="19"/>
      <c r="W196" s="12"/>
    </row>
    <row r="197" ht="20.1" customHeight="1">
      <c r="A197" s="13"/>
      <c r="B197" s="15"/>
      <c r="C197" t="s" s="145">
        <v>95</v>
      </c>
      <c r="D197" s="146"/>
      <c r="E197" s="147"/>
      <c r="F197" s="154"/>
      <c r="G197" s="155"/>
      <c r="H197" s="155"/>
      <c r="I197" s="155"/>
      <c r="J197" s="155"/>
      <c r="K197" s="156"/>
      <c r="L197" s="151"/>
      <c r="M197" s="152"/>
      <c r="N197" s="153"/>
      <c r="O197" s="151"/>
      <c r="P197" s="152"/>
      <c r="Q197" s="153"/>
      <c r="R197" s="151"/>
      <c r="S197" s="152"/>
      <c r="T197" s="152"/>
      <c r="U197" s="153"/>
      <c r="V197" s="19"/>
      <c r="W197" s="12"/>
    </row>
    <row r="198" ht="33.95" customHeight="1">
      <c r="A198" s="13"/>
      <c r="B198" s="15"/>
      <c r="C198" t="s" s="145">
        <v>96</v>
      </c>
      <c r="D198" s="146"/>
      <c r="E198" s="147"/>
      <c r="F198" s="157"/>
      <c r="G198" s="158"/>
      <c r="H198" s="158"/>
      <c r="I198" s="158"/>
      <c r="J198" s="158"/>
      <c r="K198" s="159"/>
      <c r="L198" s="151"/>
      <c r="M198" s="152"/>
      <c r="N198" s="153"/>
      <c r="O198" s="151"/>
      <c r="P198" s="152"/>
      <c r="Q198" s="153"/>
      <c r="R198" s="151"/>
      <c r="S198" s="152"/>
      <c r="T198" s="152"/>
      <c r="U198" s="153"/>
      <c r="V198" s="19"/>
      <c r="W198" s="12"/>
    </row>
    <row r="199" ht="20.1" customHeight="1">
      <c r="A199" s="13"/>
      <c r="B199" s="15"/>
      <c r="C199" t="s" s="160">
        <v>97</v>
      </c>
      <c r="D199" s="161"/>
      <c r="E199" s="162"/>
      <c r="F199" s="163"/>
      <c r="G199" s="164"/>
      <c r="H199" s="164"/>
      <c r="I199" s="164"/>
      <c r="J199" s="164"/>
      <c r="K199" s="165"/>
      <c r="L199" s="166"/>
      <c r="M199" s="167"/>
      <c r="N199" s="168"/>
      <c r="O199" s="166"/>
      <c r="P199" s="167"/>
      <c r="Q199" s="168"/>
      <c r="R199" s="166"/>
      <c r="S199" s="167"/>
      <c r="T199" s="167"/>
      <c r="U199" s="168"/>
      <c r="V199" s="19"/>
      <c r="W199" s="12"/>
    </row>
    <row r="200" ht="15.75" customHeight="1">
      <c r="A200" s="13"/>
      <c r="B200" s="11"/>
      <c r="C200" s="169"/>
      <c r="D200" s="169"/>
      <c r="E200" s="169"/>
      <c r="F200" s="169"/>
      <c r="G200" s="169"/>
      <c r="H200" s="169"/>
      <c r="I200" s="169"/>
      <c r="J200" s="169"/>
      <c r="K200" s="169"/>
      <c r="L200" s="169"/>
      <c r="M200" s="169"/>
      <c r="N200" s="169"/>
      <c r="O200" s="169"/>
      <c r="P200" s="169"/>
      <c r="Q200" s="169"/>
      <c r="R200" s="169"/>
      <c r="S200" s="169"/>
      <c r="T200" s="169"/>
      <c r="U200" s="169"/>
      <c r="V200" s="11"/>
      <c r="W200" s="12"/>
    </row>
    <row r="201" ht="15.75" customHeight="1">
      <c r="A201" s="13"/>
      <c r="B201" s="11"/>
      <c r="C201" t="s" s="41">
        <v>98</v>
      </c>
      <c r="D201" s="42"/>
      <c r="E201" s="42"/>
      <c r="F201" s="42"/>
      <c r="G201" s="42"/>
      <c r="H201" s="42"/>
      <c r="I201" s="42"/>
      <c r="J201" s="42"/>
      <c r="K201" s="11"/>
      <c r="L201" s="11"/>
      <c r="M201" s="11"/>
      <c r="N201" s="11"/>
      <c r="O201" s="11"/>
      <c r="P201" s="11"/>
      <c r="Q201" s="11"/>
      <c r="R201" s="11"/>
      <c r="S201" s="11"/>
      <c r="T201" s="11"/>
      <c r="U201" s="11"/>
      <c r="V201" s="11"/>
      <c r="W201" s="12"/>
    </row>
    <row r="202" ht="15.75" customHeight="1">
      <c r="A202" s="13"/>
      <c r="B202" s="11"/>
      <c r="C202" s="40"/>
      <c r="D202" s="40"/>
      <c r="E202" s="40"/>
      <c r="F202" s="40"/>
      <c r="G202" s="40"/>
      <c r="H202" s="40"/>
      <c r="I202" s="40"/>
      <c r="J202" s="40"/>
      <c r="K202" s="40"/>
      <c r="L202" s="40"/>
      <c r="M202" s="40"/>
      <c r="N202" s="40"/>
      <c r="O202" s="40"/>
      <c r="P202" s="40"/>
      <c r="Q202" s="40"/>
      <c r="R202" s="40"/>
      <c r="S202" s="40"/>
      <c r="T202" s="40"/>
      <c r="U202" s="40"/>
      <c r="V202" s="11"/>
      <c r="W202" s="12"/>
    </row>
    <row r="203" ht="60" customHeight="1">
      <c r="A203" s="13"/>
      <c r="B203" s="50"/>
      <c r="C203" s="85"/>
      <c r="D203" s="86"/>
      <c r="E203" s="86"/>
      <c r="F203" s="86"/>
      <c r="G203" s="86"/>
      <c r="H203" s="86"/>
      <c r="I203" s="86"/>
      <c r="J203" s="86"/>
      <c r="K203" s="86"/>
      <c r="L203" s="86"/>
      <c r="M203" s="86"/>
      <c r="N203" s="86"/>
      <c r="O203" s="86"/>
      <c r="P203" s="86"/>
      <c r="Q203" s="86"/>
      <c r="R203" s="86"/>
      <c r="S203" s="86"/>
      <c r="T203" s="86"/>
      <c r="U203" s="87"/>
      <c r="V203" s="47"/>
      <c r="W203" s="12"/>
    </row>
    <row r="204" ht="15.75" customHeight="1">
      <c r="A204" s="13"/>
      <c r="B204" s="11"/>
      <c r="C204" s="48"/>
      <c r="D204" s="48"/>
      <c r="E204" s="48"/>
      <c r="F204" s="48"/>
      <c r="G204" s="48"/>
      <c r="H204" s="48"/>
      <c r="I204" s="48"/>
      <c r="J204" s="48"/>
      <c r="K204" s="48"/>
      <c r="L204" s="48"/>
      <c r="M204" s="48"/>
      <c r="N204" s="48"/>
      <c r="O204" s="48"/>
      <c r="P204" s="48"/>
      <c r="Q204" s="48"/>
      <c r="R204" s="48"/>
      <c r="S204" s="48"/>
      <c r="T204" s="48"/>
      <c r="U204" s="48"/>
      <c r="V204" s="11"/>
      <c r="W204" s="12"/>
    </row>
    <row r="205" ht="21" customHeight="1">
      <c r="A205" s="36"/>
      <c r="B205" s="37"/>
      <c r="C205" t="s" s="38">
        <v>99</v>
      </c>
      <c r="D205" s="39"/>
      <c r="E205" s="39"/>
      <c r="F205" s="39"/>
      <c r="G205" s="39"/>
      <c r="H205" s="39"/>
      <c r="I205" s="39"/>
      <c r="J205" s="39"/>
      <c r="K205" s="39"/>
      <c r="L205" s="39"/>
      <c r="M205" s="39"/>
      <c r="N205" s="39"/>
      <c r="O205" s="39"/>
      <c r="P205" s="39"/>
      <c r="Q205" s="39"/>
      <c r="R205" s="39"/>
      <c r="S205" s="39"/>
      <c r="T205" s="39"/>
      <c r="U205" s="39"/>
      <c r="V205" s="11"/>
      <c r="W205" s="12"/>
    </row>
    <row r="206" ht="15.75" customHeight="1">
      <c r="A206" s="13"/>
      <c r="B206" s="11"/>
      <c r="C206" s="40"/>
      <c r="D206" s="40"/>
      <c r="E206" s="40"/>
      <c r="F206" s="40"/>
      <c r="G206" s="40"/>
      <c r="H206" s="40"/>
      <c r="I206" s="40"/>
      <c r="J206" s="40"/>
      <c r="K206" s="40"/>
      <c r="L206" s="40"/>
      <c r="M206" s="40"/>
      <c r="N206" s="40"/>
      <c r="O206" s="40"/>
      <c r="P206" s="40"/>
      <c r="Q206" s="40"/>
      <c r="R206" s="40"/>
      <c r="S206" s="40"/>
      <c r="T206" s="40"/>
      <c r="U206" s="40"/>
      <c r="V206" s="11"/>
      <c r="W206" s="12"/>
    </row>
    <row r="207" ht="408.95" customHeight="1">
      <c r="A207" s="13"/>
      <c r="B207" s="50"/>
      <c r="C207" s="85"/>
      <c r="D207" s="86"/>
      <c r="E207" s="86"/>
      <c r="F207" s="86"/>
      <c r="G207" s="86"/>
      <c r="H207" s="86"/>
      <c r="I207" s="86"/>
      <c r="J207" s="86"/>
      <c r="K207" s="86"/>
      <c r="L207" s="86"/>
      <c r="M207" s="86"/>
      <c r="N207" s="86"/>
      <c r="O207" s="86"/>
      <c r="P207" s="86"/>
      <c r="Q207" s="86"/>
      <c r="R207" s="86"/>
      <c r="S207" s="86"/>
      <c r="T207" s="86"/>
      <c r="U207" s="87"/>
      <c r="V207" s="47"/>
      <c r="W207" s="12"/>
    </row>
    <row r="208" ht="408.95" customHeight="1">
      <c r="A208" s="13"/>
      <c r="B208" s="50"/>
      <c r="C208" s="85"/>
      <c r="D208" s="86"/>
      <c r="E208" s="86"/>
      <c r="F208" s="86"/>
      <c r="G208" s="86"/>
      <c r="H208" s="86"/>
      <c r="I208" s="86"/>
      <c r="J208" s="86"/>
      <c r="K208" s="86"/>
      <c r="L208" s="86"/>
      <c r="M208" s="86"/>
      <c r="N208" s="86"/>
      <c r="O208" s="86"/>
      <c r="P208" s="86"/>
      <c r="Q208" s="86"/>
      <c r="R208" s="86"/>
      <c r="S208" s="86"/>
      <c r="T208" s="86"/>
      <c r="U208" s="87"/>
      <c r="V208" s="47"/>
      <c r="W208" s="12"/>
    </row>
    <row r="209" ht="15.75" customHeight="1">
      <c r="A209" s="13"/>
      <c r="B209" s="11"/>
      <c r="C209" s="48"/>
      <c r="D209" s="48"/>
      <c r="E209" s="48"/>
      <c r="F209" s="48"/>
      <c r="G209" s="48"/>
      <c r="H209" s="48"/>
      <c r="I209" s="48"/>
      <c r="J209" s="48"/>
      <c r="K209" s="48"/>
      <c r="L209" s="48"/>
      <c r="M209" s="48"/>
      <c r="N209" s="48"/>
      <c r="O209" s="48"/>
      <c r="P209" s="48"/>
      <c r="Q209" s="48"/>
      <c r="R209" s="48"/>
      <c r="S209" s="48"/>
      <c r="T209" s="48"/>
      <c r="U209" s="48"/>
      <c r="V209" s="11"/>
      <c r="W209" s="12"/>
    </row>
    <row r="210" ht="21" customHeight="1">
      <c r="A210" s="36"/>
      <c r="B210" s="37"/>
      <c r="C210" t="s" s="38">
        <v>100</v>
      </c>
      <c r="D210" s="39"/>
      <c r="E210" s="39"/>
      <c r="F210" s="39"/>
      <c r="G210" s="39"/>
      <c r="H210" s="39"/>
      <c r="I210" s="39"/>
      <c r="J210" s="39"/>
      <c r="K210" s="39"/>
      <c r="L210" s="39"/>
      <c r="M210" s="39"/>
      <c r="N210" s="39"/>
      <c r="O210" s="39"/>
      <c r="P210" s="39"/>
      <c r="Q210" s="39"/>
      <c r="R210" s="39"/>
      <c r="S210" s="39"/>
      <c r="T210" s="39"/>
      <c r="U210" s="39"/>
      <c r="V210" s="11"/>
      <c r="W210" s="12"/>
    </row>
    <row r="211" ht="15.75" customHeight="1">
      <c r="A211" s="13"/>
      <c r="B211" s="11"/>
      <c r="C211" s="40"/>
      <c r="D211" s="40"/>
      <c r="E211" s="40"/>
      <c r="F211" s="40"/>
      <c r="G211" s="40"/>
      <c r="H211" s="40"/>
      <c r="I211" s="40"/>
      <c r="J211" s="40"/>
      <c r="K211" s="11"/>
      <c r="L211" s="40"/>
      <c r="M211" s="40"/>
      <c r="N211" s="40"/>
      <c r="O211" s="40"/>
      <c r="P211" s="40"/>
      <c r="Q211" s="11"/>
      <c r="R211" s="11"/>
      <c r="S211" s="11"/>
      <c r="T211" s="11"/>
      <c r="U211" s="11"/>
      <c r="V211" s="11"/>
      <c r="W211" s="12"/>
    </row>
    <row r="212" ht="20.1" customHeight="1">
      <c r="A212" s="13"/>
      <c r="B212" s="50"/>
      <c r="C212" s="170"/>
      <c r="D212" s="66"/>
      <c r="E212" s="66"/>
      <c r="F212" s="66"/>
      <c r="G212" s="66"/>
      <c r="H212" s="66"/>
      <c r="I212" s="66"/>
      <c r="J212" s="67"/>
      <c r="K212" t="s" s="171">
        <v>101</v>
      </c>
      <c r="L212" s="172"/>
      <c r="M212" s="172"/>
      <c r="N212" s="172"/>
      <c r="O212" s="172"/>
      <c r="P212" s="172"/>
      <c r="Q212" s="47"/>
      <c r="R212" s="11"/>
      <c r="S212" s="11"/>
      <c r="T212" s="11"/>
      <c r="U212" s="11"/>
      <c r="V212" s="11"/>
      <c r="W212" s="12"/>
    </row>
    <row r="213" ht="15.75" customHeight="1">
      <c r="A213" s="13"/>
      <c r="B213" s="11"/>
      <c r="C213" s="59"/>
      <c r="D213" s="59"/>
      <c r="E213" s="59"/>
      <c r="F213" s="59"/>
      <c r="G213" s="59"/>
      <c r="H213" s="59"/>
      <c r="I213" s="59"/>
      <c r="J213" s="59"/>
      <c r="K213" s="11"/>
      <c r="L213" s="59"/>
      <c r="M213" s="59"/>
      <c r="N213" s="59"/>
      <c r="O213" s="59"/>
      <c r="P213" s="59"/>
      <c r="Q213" s="11"/>
      <c r="R213" s="11"/>
      <c r="S213" s="11"/>
      <c r="T213" s="11"/>
      <c r="U213" s="11"/>
      <c r="V213" s="11"/>
      <c r="W213" s="12"/>
    </row>
    <row r="214" ht="20.1" customHeight="1">
      <c r="A214" s="13"/>
      <c r="B214" s="50"/>
      <c r="C214" s="170"/>
      <c r="D214" s="66"/>
      <c r="E214" s="66"/>
      <c r="F214" s="66"/>
      <c r="G214" s="66"/>
      <c r="H214" s="66"/>
      <c r="I214" s="66"/>
      <c r="J214" s="67"/>
      <c r="K214" t="s" s="171">
        <v>101</v>
      </c>
      <c r="L214" s="172"/>
      <c r="M214" s="172"/>
      <c r="N214" s="172"/>
      <c r="O214" s="172"/>
      <c r="P214" s="172"/>
      <c r="Q214" s="47"/>
      <c r="R214" s="11"/>
      <c r="S214" s="11"/>
      <c r="T214" s="11"/>
      <c r="U214" s="11"/>
      <c r="V214" s="11"/>
      <c r="W214" s="12"/>
    </row>
    <row r="215" ht="15.75" customHeight="1">
      <c r="A215" s="13"/>
      <c r="B215" s="11"/>
      <c r="C215" s="48"/>
      <c r="D215" s="48"/>
      <c r="E215" s="48"/>
      <c r="F215" s="48"/>
      <c r="G215" s="48"/>
      <c r="H215" s="48"/>
      <c r="I215" s="48"/>
      <c r="J215" s="48"/>
      <c r="K215" s="11"/>
      <c r="L215" s="48"/>
      <c r="M215" s="48"/>
      <c r="N215" s="48"/>
      <c r="O215" s="48"/>
      <c r="P215" s="48"/>
      <c r="Q215" s="11"/>
      <c r="R215" s="11"/>
      <c r="S215" s="11"/>
      <c r="T215" s="11"/>
      <c r="U215" s="11"/>
      <c r="V215" s="11"/>
      <c r="W215" s="12"/>
    </row>
    <row r="216" ht="15.75" customHeight="1">
      <c r="A216" s="13"/>
      <c r="B216" s="11"/>
      <c r="C216" t="s" s="102">
        <v>102</v>
      </c>
      <c r="D216" s="103"/>
      <c r="E216" s="103"/>
      <c r="F216" s="103"/>
      <c r="G216" s="103"/>
      <c r="H216" s="103"/>
      <c r="I216" s="40"/>
      <c r="J216" s="40"/>
      <c r="K216" s="40"/>
      <c r="L216" s="40"/>
      <c r="M216" s="40"/>
      <c r="N216" s="40"/>
      <c r="O216" s="40"/>
      <c r="P216" s="40"/>
      <c r="Q216" s="40"/>
      <c r="R216" s="40"/>
      <c r="S216" s="40"/>
      <c r="T216" s="40"/>
      <c r="U216" s="40"/>
      <c r="V216" s="11"/>
      <c r="W216" s="12"/>
    </row>
    <row r="217" ht="90" customHeight="1">
      <c r="A217" s="173"/>
      <c r="B217" s="174"/>
      <c r="C217" s="85"/>
      <c r="D217" s="86"/>
      <c r="E217" s="86"/>
      <c r="F217" s="86"/>
      <c r="G217" s="86"/>
      <c r="H217" s="86"/>
      <c r="I217" s="86"/>
      <c r="J217" s="86"/>
      <c r="K217" s="86"/>
      <c r="L217" s="86"/>
      <c r="M217" s="86"/>
      <c r="N217" s="86"/>
      <c r="O217" s="86"/>
      <c r="P217" s="86"/>
      <c r="Q217" s="86"/>
      <c r="R217" s="86"/>
      <c r="S217" s="86"/>
      <c r="T217" s="86"/>
      <c r="U217" s="87"/>
      <c r="V217" s="175"/>
      <c r="W217" s="176"/>
    </row>
  </sheetData>
  <mergeCells count="213">
    <mergeCell ref="C207:U207"/>
    <mergeCell ref="C217:U217"/>
    <mergeCell ref="E149:T149"/>
    <mergeCell ref="D152:T152"/>
    <mergeCell ref="H158:T158"/>
    <mergeCell ref="D160:T160"/>
    <mergeCell ref="D162:T162"/>
    <mergeCell ref="C167:U167"/>
    <mergeCell ref="C203:U203"/>
    <mergeCell ref="C208:U208"/>
    <mergeCell ref="L179:N179"/>
    <mergeCell ref="O179:Q179"/>
    <mergeCell ref="R179:U179"/>
    <mergeCell ref="R178:U178"/>
    <mergeCell ref="C188:E188"/>
    <mergeCell ref="C189:E189"/>
    <mergeCell ref="F180:K180"/>
    <mergeCell ref="F183:K183"/>
    <mergeCell ref="F184:K184"/>
    <mergeCell ref="F185:K185"/>
    <mergeCell ref="F186:K186"/>
    <mergeCell ref="F187:K187"/>
    <mergeCell ref="F188:K188"/>
    <mergeCell ref="C201:J201"/>
    <mergeCell ref="E97:K97"/>
    <mergeCell ref="O97:U97"/>
    <mergeCell ref="E101:K101"/>
    <mergeCell ref="C136:O136"/>
    <mergeCell ref="C93:U93"/>
    <mergeCell ref="D113:H113"/>
    <mergeCell ref="C83:O83"/>
    <mergeCell ref="C89:O89"/>
    <mergeCell ref="E99:U99"/>
    <mergeCell ref="C107:D107"/>
    <mergeCell ref="C111:D111"/>
    <mergeCell ref="M109:N109"/>
    <mergeCell ref="M105:N105"/>
    <mergeCell ref="C95:H95"/>
    <mergeCell ref="C91:U91"/>
    <mergeCell ref="D142:M142"/>
    <mergeCell ref="C155:J155"/>
    <mergeCell ref="E148:L148"/>
    <mergeCell ref="E146:G146"/>
    <mergeCell ref="E158:G158"/>
    <mergeCell ref="D159:U159"/>
    <mergeCell ref="O101:U101"/>
    <mergeCell ref="C119:U119"/>
    <mergeCell ref="C115:S115"/>
    <mergeCell ref="C120:U120"/>
    <mergeCell ref="D131:T131"/>
    <mergeCell ref="C140:S140"/>
    <mergeCell ref="D117:U117"/>
    <mergeCell ref="D138:K138"/>
    <mergeCell ref="C75:H75"/>
    <mergeCell ref="C81:H81"/>
    <mergeCell ref="C87:H87"/>
    <mergeCell ref="E77:K77"/>
    <mergeCell ref="I50:K50"/>
    <mergeCell ref="D60:U60"/>
    <mergeCell ref="C71:U71"/>
    <mergeCell ref="D63:U63"/>
    <mergeCell ref="D64:U64"/>
    <mergeCell ref="D61:U61"/>
    <mergeCell ref="D62:U62"/>
    <mergeCell ref="O77:U77"/>
    <mergeCell ref="C85:U85"/>
    <mergeCell ref="F73:H73"/>
    <mergeCell ref="O73:Q73"/>
    <mergeCell ref="G79:U79"/>
    <mergeCell ref="T5:U5"/>
    <mergeCell ref="G6:H6"/>
    <mergeCell ref="E20:G20"/>
    <mergeCell ref="O20:U20"/>
    <mergeCell ref="C16:H16"/>
    <mergeCell ref="C42:P42"/>
    <mergeCell ref="C46:O46"/>
    <mergeCell ref="C70:H70"/>
    <mergeCell ref="O30:Q30"/>
    <mergeCell ref="G10:I10"/>
    <mergeCell ref="C22:H22"/>
    <mergeCell ref="E14:K14"/>
    <mergeCell ref="E36:K36"/>
    <mergeCell ref="E18:K18"/>
    <mergeCell ref="O18:Q18"/>
    <mergeCell ref="C40:H40"/>
    <mergeCell ref="C44:H44"/>
    <mergeCell ref="C48:H48"/>
    <mergeCell ref="C50:H50"/>
    <mergeCell ref="C52:H52"/>
    <mergeCell ref="I48:K48"/>
    <mergeCell ref="C4:U4"/>
    <mergeCell ref="Q5:S5"/>
    <mergeCell ref="C6:F6"/>
    <mergeCell ref="D66:U66"/>
    <mergeCell ref="D67:U67"/>
    <mergeCell ref="D68:U68"/>
    <mergeCell ref="E54:G54"/>
    <mergeCell ref="O54:Q54"/>
    <mergeCell ref="C58:H58"/>
    <mergeCell ref="E24:K24"/>
    <mergeCell ref="O24:U24"/>
    <mergeCell ref="E30:K30"/>
    <mergeCell ref="D65:U65"/>
    <mergeCell ref="E38:G38"/>
    <mergeCell ref="O38:U38"/>
    <mergeCell ref="E32:G32"/>
    <mergeCell ref="O32:U32"/>
    <mergeCell ref="C34:H34"/>
    <mergeCell ref="C28:H28"/>
    <mergeCell ref="F26:H26"/>
    <mergeCell ref="C12:H12"/>
    <mergeCell ref="C8:U8"/>
    <mergeCell ref="O14:U14"/>
    <mergeCell ref="O36:Q36"/>
    <mergeCell ref="L180:N184"/>
    <mergeCell ref="C180:E180"/>
    <mergeCell ref="C165:J165"/>
    <mergeCell ref="C169:J169"/>
    <mergeCell ref="C173:H173"/>
    <mergeCell ref="D163:U163"/>
    <mergeCell ref="C171:O171"/>
    <mergeCell ref="C175:O175"/>
    <mergeCell ref="C177:N177"/>
    <mergeCell ref="F181:K181"/>
    <mergeCell ref="F182:K182"/>
    <mergeCell ref="C183:E183"/>
    <mergeCell ref="C184:E184"/>
    <mergeCell ref="C181:E181"/>
    <mergeCell ref="C182:E182"/>
    <mergeCell ref="O180:Q184"/>
    <mergeCell ref="R180:U184"/>
    <mergeCell ref="C179:K179"/>
    <mergeCell ref="C191:E191"/>
    <mergeCell ref="F191:K191"/>
    <mergeCell ref="C192:E192"/>
    <mergeCell ref="F194:K194"/>
    <mergeCell ref="F189:K189"/>
    <mergeCell ref="C190:E190"/>
    <mergeCell ref="C185:E185"/>
    <mergeCell ref="C186:E186"/>
    <mergeCell ref="L185:N189"/>
    <mergeCell ref="C210:U210"/>
    <mergeCell ref="C195:E195"/>
    <mergeCell ref="F195:K195"/>
    <mergeCell ref="C205:U205"/>
    <mergeCell ref="D145:U145"/>
    <mergeCell ref="D147:U147"/>
    <mergeCell ref="D150:U150"/>
    <mergeCell ref="D153:U153"/>
    <mergeCell ref="D151:U151"/>
    <mergeCell ref="C193:E193"/>
    <mergeCell ref="F193:K193"/>
    <mergeCell ref="C194:E194"/>
    <mergeCell ref="R195:U199"/>
    <mergeCell ref="C196:E196"/>
    <mergeCell ref="F196:K196"/>
    <mergeCell ref="C197:E197"/>
    <mergeCell ref="F197:K197"/>
    <mergeCell ref="C198:E198"/>
    <mergeCell ref="C187:E187"/>
    <mergeCell ref="C199:E199"/>
    <mergeCell ref="R185:U189"/>
    <mergeCell ref="O185:Q189"/>
    <mergeCell ref="F192:K192"/>
    <mergeCell ref="F190:K190"/>
    <mergeCell ref="F199:K199"/>
    <mergeCell ref="C144:H144"/>
    <mergeCell ref="C216:H216"/>
    <mergeCell ref="C10:F10"/>
    <mergeCell ref="C26:E26"/>
    <mergeCell ref="C73:E73"/>
    <mergeCell ref="M73:N73"/>
    <mergeCell ref="M77:N77"/>
    <mergeCell ref="M14:N14"/>
    <mergeCell ref="C18:D18"/>
    <mergeCell ref="M18:N18"/>
    <mergeCell ref="M24:N24"/>
    <mergeCell ref="M30:N30"/>
    <mergeCell ref="M36:N36"/>
    <mergeCell ref="C30:D30"/>
    <mergeCell ref="C36:D36"/>
    <mergeCell ref="C79:F79"/>
    <mergeCell ref="C99:D99"/>
    <mergeCell ref="C103:D103"/>
    <mergeCell ref="C212:J212"/>
    <mergeCell ref="D161:U161"/>
    <mergeCell ref="C214:J214"/>
    <mergeCell ref="L195:N199"/>
    <mergeCell ref="O195:Q199"/>
    <mergeCell ref="F198:K198"/>
    <mergeCell ref="M101:N101"/>
    <mergeCell ref="M97:N97"/>
    <mergeCell ref="C122:I122"/>
    <mergeCell ref="C134:I134"/>
    <mergeCell ref="D126:U126"/>
    <mergeCell ref="D127:U127"/>
    <mergeCell ref="D128:U128"/>
    <mergeCell ref="D129:U129"/>
    <mergeCell ref="D132:U132"/>
    <mergeCell ref="E105:K105"/>
    <mergeCell ref="O105:U105"/>
    <mergeCell ref="E109:K109"/>
    <mergeCell ref="O109:U109"/>
    <mergeCell ref="E111:U111"/>
    <mergeCell ref="E107:U107"/>
    <mergeCell ref="E103:U103"/>
    <mergeCell ref="H146:T146"/>
    <mergeCell ref="D123:U123"/>
    <mergeCell ref="D124:U124"/>
    <mergeCell ref="D125:U125"/>
    <mergeCell ref="L190:N194"/>
    <mergeCell ref="O190:Q194"/>
    <mergeCell ref="R190:U194"/>
  </mergeCells>
  <dataValidations count="7">
    <dataValidation type="list" allowBlank="1" showInputMessage="1" showErrorMessage="1" sqref="C42">
      <formula1>"Pflegegeld (§ 37 SGB XI),Ambulante Pflegesachleistungen (§ 36 SGB XI),Kombinationsleistung (§ 38 SGB XI),Kurzzeitpflege (§ 42 SGB XI),Teilstationäre Pflege (§ 41 SGB XI),Vollstationäre Pflege (§ 43 SGB XI)"</formula1>
    </dataValidation>
    <dataValidation type="list" allowBlank="1" showInputMessage="1" showErrorMessage="1" sqref="C46">
      <formula1>"Erstantrag,Erstantrag nach Eilbegutachtung,Rückstufungsantrag,Höherstufungsantrag,Wiederholungsbegutachtung,Widerspruch"</formula1>
    </dataValidation>
    <dataValidation type="list" allowBlank="1" showInputMessage="1" showErrorMessage="1" sqref="C83">
      <formula1>"Persönliche Befunderhebung"</formula1>
    </dataValidation>
    <dataValidation type="list" allowBlank="1" showInputMessage="1" showErrorMessage="1" sqref="C89">
      <formula1>"Häusliches Wohnumfeld der oder des Versicherten,Vollstationäre Pflegeeinrichtung,Kurzzeitpflegeeinrichtung,Teilstationäre Pflegeeinrichtung,Vollstationäre Einrichtungen der Hilfe für behinderte Menschen,Hospiz,Rehabilitationseinrichtung,Krankenhaus"</formula1>
    </dataValidation>
    <dataValidation type="list" allowBlank="1" showInputMessage="1" showErrorMessage="1" sqref="C136:O136">
      <formula1>"nein"</formula1>
    </dataValidation>
    <dataValidation type="list" allowBlank="1" showInputMessage="1" showErrorMessage="1" sqref="C171:O171">
      <formula1>"nein,mehrmals täglich,überwiegend,durchgehend"</formula1>
    </dataValidation>
    <dataValidation type="list" allowBlank="1" showInputMessage="1" showErrorMessage="1" sqref="C175:O175">
      <formula1>"nie oder max. einmal wöchentlich,mehrmals wöchentlich,einmal pro Nacht,mehrmals nachts"</formula1>
    </dataValidation>
  </dataValidations>
  <pageMargins left="0.59" right="0.59" top="0.629921" bottom="0.98" header="0.51" footer="0.51"/>
  <pageSetup firstPageNumber="1" fitToHeight="1" fitToWidth="1" scale="74" useFirstPageNumber="0" orientation="portrait" pageOrder="downThenOver"/>
  <drawing r:id="rId1"/>
</worksheet>
</file>

<file path=xl/worksheets/sheet3.xml><?xml version="1.0" encoding="utf-8"?>
<worksheet xmlns:r="http://schemas.openxmlformats.org/officeDocument/2006/relationships" xmlns="http://schemas.openxmlformats.org/spreadsheetml/2006/main">
  <dimension ref="A1:X33"/>
  <sheetViews>
    <sheetView workbookViewId="0" showGridLines="0" defaultGridColor="1"/>
  </sheetViews>
  <sheetFormatPr defaultColWidth="5.83333" defaultRowHeight="15.75" customHeight="1" outlineLevelRow="0" outlineLevelCol="0"/>
  <cols>
    <col min="1" max="21" width="5.85156" style="177" customWidth="1"/>
    <col min="22" max="22" hidden="1" width="5.83333" style="177" customWidth="1"/>
    <col min="23" max="24" width="5.85156" style="177" customWidth="1"/>
    <col min="25" max="16384" width="5.85156" style="177" customWidth="1"/>
  </cols>
  <sheetData>
    <row r="1" ht="15.75" customHeight="1">
      <c r="A1" s="7"/>
      <c r="B1" s="8"/>
      <c r="C1" s="8"/>
      <c r="D1" s="8"/>
      <c r="E1" s="8"/>
      <c r="F1" s="8"/>
      <c r="G1" s="8"/>
      <c r="H1" s="8"/>
      <c r="I1" s="8"/>
      <c r="J1" s="8"/>
      <c r="K1" s="8"/>
      <c r="L1" s="8"/>
      <c r="M1" s="8"/>
      <c r="N1" s="8"/>
      <c r="O1" s="8"/>
      <c r="P1" s="8"/>
      <c r="Q1" s="8"/>
      <c r="R1" s="8"/>
      <c r="S1" s="8"/>
      <c r="T1" s="8"/>
      <c r="U1" s="8"/>
      <c r="V1" s="8"/>
      <c r="W1" s="8"/>
      <c r="X1" s="9"/>
    </row>
    <row r="2" ht="15.75" customHeight="1">
      <c r="A2" t="s" s="10">
        <v>6</v>
      </c>
      <c r="B2" s="11"/>
      <c r="C2" s="11"/>
      <c r="D2" s="11"/>
      <c r="E2" s="11"/>
      <c r="F2" s="11"/>
      <c r="G2" s="11"/>
      <c r="H2" s="11"/>
      <c r="I2" s="11"/>
      <c r="J2" s="11"/>
      <c r="K2" s="11"/>
      <c r="L2" s="11"/>
      <c r="M2" s="11"/>
      <c r="N2" s="11"/>
      <c r="O2" s="11"/>
      <c r="P2" s="11"/>
      <c r="Q2" s="11"/>
      <c r="R2" s="11"/>
      <c r="S2" s="11"/>
      <c r="T2" s="11"/>
      <c r="U2" s="11"/>
      <c r="V2" s="11"/>
      <c r="W2" s="11"/>
      <c r="X2" s="12"/>
    </row>
    <row r="3" ht="15.75" customHeight="1">
      <c r="A3" s="13"/>
      <c r="B3" s="11"/>
      <c r="C3" s="14"/>
      <c r="D3" s="14"/>
      <c r="E3" s="14"/>
      <c r="F3" s="14"/>
      <c r="G3" s="14"/>
      <c r="H3" s="14"/>
      <c r="I3" s="14"/>
      <c r="J3" s="14"/>
      <c r="K3" s="14"/>
      <c r="L3" s="14"/>
      <c r="M3" s="14"/>
      <c r="N3" s="14"/>
      <c r="O3" s="14"/>
      <c r="P3" s="14"/>
      <c r="Q3" s="14"/>
      <c r="R3" s="14"/>
      <c r="S3" s="14"/>
      <c r="T3" s="14"/>
      <c r="U3" s="14"/>
      <c r="V3" s="11"/>
      <c r="W3" s="11"/>
      <c r="X3" s="12"/>
    </row>
    <row r="4" ht="18.75" customHeight="1">
      <c r="A4" s="13"/>
      <c r="B4" s="15"/>
      <c r="C4" t="s" s="16">
        <v>7</v>
      </c>
      <c r="D4" s="17"/>
      <c r="E4" s="17"/>
      <c r="F4" s="17"/>
      <c r="G4" s="17"/>
      <c r="H4" s="17"/>
      <c r="I4" s="17"/>
      <c r="J4" s="17"/>
      <c r="K4" s="17"/>
      <c r="L4" s="17"/>
      <c r="M4" s="17"/>
      <c r="N4" s="17"/>
      <c r="O4" s="17"/>
      <c r="P4" s="17"/>
      <c r="Q4" s="17"/>
      <c r="R4" s="17"/>
      <c r="S4" s="17"/>
      <c r="T4" s="17"/>
      <c r="U4" s="17"/>
      <c r="V4" s="178"/>
      <c r="W4" s="11"/>
      <c r="X4" s="12"/>
    </row>
    <row r="5"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8"/>
      <c r="V5" s="179"/>
      <c r="W5" s="11"/>
      <c r="X5" s="12"/>
    </row>
    <row r="6" ht="18" customHeight="1">
      <c r="A6" s="20"/>
      <c r="B6" s="21"/>
      <c r="C6" t="s" s="30">
        <v>11</v>
      </c>
      <c r="D6" s="31"/>
      <c r="E6" s="31"/>
      <c r="F6" s="31"/>
      <c r="G6" s="32">
        <f>'Kap. 1, 2, 3'!G6:H6</f>
      </c>
      <c r="H6" s="32"/>
      <c r="I6" s="33"/>
      <c r="J6" s="33"/>
      <c r="K6" s="33"/>
      <c r="L6" s="33"/>
      <c r="M6" s="33"/>
      <c r="N6" s="33"/>
      <c r="O6" s="33"/>
      <c r="P6" s="33"/>
      <c r="Q6" s="33"/>
      <c r="R6" s="33"/>
      <c r="S6" s="33"/>
      <c r="T6" s="33"/>
      <c r="U6" s="33"/>
      <c r="V6" s="179"/>
      <c r="W6" s="11"/>
      <c r="X6" s="12"/>
    </row>
    <row r="7" ht="15.75" customHeight="1">
      <c r="A7" s="13"/>
      <c r="B7" s="11"/>
      <c r="C7" s="35"/>
      <c r="D7" s="35"/>
      <c r="E7" s="35"/>
      <c r="F7" s="35"/>
      <c r="G7" s="35"/>
      <c r="H7" s="35"/>
      <c r="I7" s="35"/>
      <c r="J7" s="35"/>
      <c r="K7" s="35"/>
      <c r="L7" s="35"/>
      <c r="M7" s="35"/>
      <c r="N7" s="35"/>
      <c r="O7" s="35"/>
      <c r="P7" s="35"/>
      <c r="Q7" s="35"/>
      <c r="R7" s="35"/>
      <c r="S7" s="35"/>
      <c r="T7" s="35"/>
      <c r="U7" s="35"/>
      <c r="V7" s="11"/>
      <c r="W7" s="11"/>
      <c r="X7" s="12"/>
    </row>
    <row r="8" ht="21" customHeight="1">
      <c r="A8" s="13"/>
      <c r="B8" s="11"/>
      <c r="C8" t="s" s="38">
        <v>105</v>
      </c>
      <c r="D8" s="39"/>
      <c r="E8" s="39"/>
      <c r="F8" s="39"/>
      <c r="G8" s="39"/>
      <c r="H8" s="39"/>
      <c r="I8" s="39"/>
      <c r="J8" s="11"/>
      <c r="K8" s="39"/>
      <c r="L8" s="39"/>
      <c r="M8" s="39"/>
      <c r="N8" s="39"/>
      <c r="O8" s="39"/>
      <c r="P8" s="39"/>
      <c r="Q8" s="39"/>
      <c r="R8" s="39"/>
      <c r="S8" s="39"/>
      <c r="T8" s="39"/>
      <c r="U8" s="39"/>
      <c r="V8" s="11"/>
      <c r="W8" s="11"/>
      <c r="X8" s="12"/>
    </row>
    <row r="9" ht="15.75" customHeight="1">
      <c r="A9" s="13"/>
      <c r="B9" s="11"/>
      <c r="C9" s="14"/>
      <c r="D9" s="14"/>
      <c r="E9" s="14"/>
      <c r="F9" s="14"/>
      <c r="G9" s="14"/>
      <c r="H9" s="14"/>
      <c r="I9" s="14"/>
      <c r="J9" s="14"/>
      <c r="K9" s="14"/>
      <c r="L9" s="14"/>
      <c r="M9" s="14"/>
      <c r="N9" s="14"/>
      <c r="O9" s="14"/>
      <c r="P9" s="14"/>
      <c r="Q9" s="14"/>
      <c r="R9" s="14"/>
      <c r="S9" s="14"/>
      <c r="T9" s="14"/>
      <c r="U9" s="14"/>
      <c r="V9" s="11"/>
      <c r="W9" s="11"/>
      <c r="X9" s="12"/>
    </row>
    <row r="10" ht="18.75" customHeight="1">
      <c r="A10" s="13"/>
      <c r="B10" s="15"/>
      <c r="C10" t="s" s="180">
        <v>106</v>
      </c>
      <c r="D10" s="181"/>
      <c r="E10" s="181"/>
      <c r="F10" s="181"/>
      <c r="G10" s="181"/>
      <c r="H10" s="181"/>
      <c r="I10" s="181"/>
      <c r="J10" s="181"/>
      <c r="K10" s="181"/>
      <c r="L10" s="181"/>
      <c r="M10" s="181"/>
      <c r="N10" s="181"/>
      <c r="O10" s="181"/>
      <c r="P10" s="181"/>
      <c r="Q10" s="181"/>
      <c r="R10" s="181"/>
      <c r="S10" s="181"/>
      <c r="T10" s="181"/>
      <c r="U10" s="181"/>
      <c r="V10" s="11"/>
      <c r="W10" s="11"/>
      <c r="X10" s="12"/>
    </row>
    <row r="11" ht="15.75" customHeight="1">
      <c r="A11" s="13"/>
      <c r="B11" s="11"/>
      <c r="C11" s="182"/>
      <c r="D11" s="182"/>
      <c r="E11" s="182"/>
      <c r="F11" s="182"/>
      <c r="G11" s="182"/>
      <c r="H11" s="182"/>
      <c r="I11" s="182"/>
      <c r="J11" s="182"/>
      <c r="K11" s="182"/>
      <c r="L11" s="182"/>
      <c r="M11" s="182"/>
      <c r="N11" s="182"/>
      <c r="O11" s="182"/>
      <c r="P11" s="182"/>
      <c r="Q11" s="182"/>
      <c r="R11" s="182"/>
      <c r="S11" s="182"/>
      <c r="T11" s="182"/>
      <c r="U11" s="182"/>
      <c r="V11" s="11"/>
      <c r="W11" s="11"/>
      <c r="X11" s="12"/>
    </row>
    <row r="12" ht="45" customHeight="1">
      <c r="A12" s="13"/>
      <c r="B12" s="15"/>
      <c r="C12" t="s" s="183">
        <v>107</v>
      </c>
      <c r="D12" s="184"/>
      <c r="E12" s="184"/>
      <c r="F12" s="184"/>
      <c r="G12" s="184"/>
      <c r="H12" s="184"/>
      <c r="I12" s="184"/>
      <c r="J12" s="184"/>
      <c r="K12" s="185"/>
      <c r="L12" t="s" s="186">
        <v>108</v>
      </c>
      <c r="M12" s="187"/>
      <c r="N12" t="s" s="188">
        <v>109</v>
      </c>
      <c r="O12" s="189"/>
      <c r="P12" t="s" s="190">
        <v>110</v>
      </c>
      <c r="Q12" s="191"/>
      <c r="R12" t="s" s="192">
        <v>111</v>
      </c>
      <c r="S12" s="193"/>
      <c r="T12" t="s" s="194">
        <v>112</v>
      </c>
      <c r="U12" s="195"/>
      <c r="V12" s="11"/>
      <c r="W12" s="11"/>
      <c r="X12" s="12"/>
    </row>
    <row r="13" ht="25.5" customHeight="1">
      <c r="A13" t="s" s="95">
        <v>53</v>
      </c>
      <c r="B13" s="196">
        <v>1</v>
      </c>
      <c r="C13" t="s" s="197">
        <f>CONCATENATE(A13,B13)</f>
        <v>54</v>
      </c>
      <c r="D13" t="s" s="198">
        <v>113</v>
      </c>
      <c r="E13" s="199"/>
      <c r="F13" s="199"/>
      <c r="G13" s="199"/>
      <c r="H13" s="199"/>
      <c r="I13" s="199"/>
      <c r="J13" s="199"/>
      <c r="K13" s="200"/>
      <c r="L13" s="201"/>
      <c r="M13" s="202"/>
      <c r="N13" s="201"/>
      <c r="O13" s="202"/>
      <c r="P13" s="201"/>
      <c r="Q13" s="202"/>
      <c r="R13" s="201"/>
      <c r="S13" s="202"/>
      <c r="T13" s="203">
        <f>IF(V13&lt;1,0,V13-1)</f>
        <v>0</v>
      </c>
      <c r="U13" s="204"/>
      <c r="V13" s="96">
        <v>0</v>
      </c>
      <c r="W13" s="11"/>
      <c r="X13" s="12"/>
    </row>
    <row r="14" ht="25.5" customHeight="1">
      <c r="A14" t="s" s="95">
        <v>53</v>
      </c>
      <c r="B14" s="196">
        <v>2</v>
      </c>
      <c r="C14" t="s" s="197">
        <f>CONCATENATE(A14,B14)</f>
        <v>56</v>
      </c>
      <c r="D14" t="s" s="198">
        <v>114</v>
      </c>
      <c r="E14" s="199"/>
      <c r="F14" s="199"/>
      <c r="G14" s="199"/>
      <c r="H14" s="199"/>
      <c r="I14" s="199"/>
      <c r="J14" s="199"/>
      <c r="K14" s="200"/>
      <c r="L14" s="201"/>
      <c r="M14" s="202"/>
      <c r="N14" s="201"/>
      <c r="O14" s="202"/>
      <c r="P14" s="201"/>
      <c r="Q14" s="202"/>
      <c r="R14" s="201"/>
      <c r="S14" s="202"/>
      <c r="T14" s="203">
        <f>IF(V14&lt;1,0,V14-1)</f>
        <v>0</v>
      </c>
      <c r="U14" s="204"/>
      <c r="V14" s="96">
        <v>0</v>
      </c>
      <c r="W14" s="11"/>
      <c r="X14" s="12"/>
    </row>
    <row r="15" ht="25.5" customHeight="1">
      <c r="A15" t="s" s="95">
        <v>53</v>
      </c>
      <c r="B15" s="196">
        <v>3</v>
      </c>
      <c r="C15" t="s" s="197">
        <f>CONCATENATE(A15,B15)</f>
        <v>68</v>
      </c>
      <c r="D15" t="s" s="198">
        <v>115</v>
      </c>
      <c r="E15" s="199"/>
      <c r="F15" s="199"/>
      <c r="G15" s="199"/>
      <c r="H15" s="199"/>
      <c r="I15" s="199"/>
      <c r="J15" s="199"/>
      <c r="K15" s="200"/>
      <c r="L15" s="205"/>
      <c r="M15" s="206"/>
      <c r="N15" s="201"/>
      <c r="O15" s="202"/>
      <c r="P15" s="201"/>
      <c r="Q15" s="202"/>
      <c r="R15" s="201"/>
      <c r="S15" s="202"/>
      <c r="T15" s="203">
        <f>IF(V15&lt;1,0,V15-1)</f>
        <v>0</v>
      </c>
      <c r="U15" s="204"/>
      <c r="V15" s="96">
        <v>0</v>
      </c>
      <c r="W15" s="11"/>
      <c r="X15" s="12"/>
    </row>
    <row r="16" ht="25.5" customHeight="1">
      <c r="A16" t="s" s="95">
        <v>53</v>
      </c>
      <c r="B16" s="196">
        <v>4</v>
      </c>
      <c r="C16" t="s" s="197">
        <f>CONCATENATE(A16,B16)</f>
        <v>70</v>
      </c>
      <c r="D16" t="s" s="198">
        <v>116</v>
      </c>
      <c r="E16" s="199"/>
      <c r="F16" s="199"/>
      <c r="G16" s="199"/>
      <c r="H16" s="199"/>
      <c r="I16" s="199"/>
      <c r="J16" s="199"/>
      <c r="K16" s="200"/>
      <c r="L16" s="201"/>
      <c r="M16" s="202"/>
      <c r="N16" s="201"/>
      <c r="O16" s="202"/>
      <c r="P16" s="201"/>
      <c r="Q16" s="202"/>
      <c r="R16" s="201"/>
      <c r="S16" s="202"/>
      <c r="T16" s="203">
        <f>IF(V16&lt;1,0,V16-1)</f>
        <v>0</v>
      </c>
      <c r="U16" s="204"/>
      <c r="V16" s="96">
        <v>0</v>
      </c>
      <c r="W16" s="11"/>
      <c r="X16" s="12"/>
    </row>
    <row r="17" ht="25.5" customHeight="1">
      <c r="A17" t="s" s="95">
        <v>53</v>
      </c>
      <c r="B17" s="196">
        <v>5</v>
      </c>
      <c r="C17" t="s" s="197">
        <f>CONCATENATE(A17,B17)</f>
        <v>117</v>
      </c>
      <c r="D17" t="s" s="198">
        <v>118</v>
      </c>
      <c r="E17" s="199"/>
      <c r="F17" s="199"/>
      <c r="G17" s="199"/>
      <c r="H17" s="199"/>
      <c r="I17" s="199"/>
      <c r="J17" s="199"/>
      <c r="K17" s="200"/>
      <c r="L17" s="201"/>
      <c r="M17" s="202"/>
      <c r="N17" s="201"/>
      <c r="O17" s="202"/>
      <c r="P17" s="201"/>
      <c r="Q17" s="202"/>
      <c r="R17" s="201"/>
      <c r="S17" s="202"/>
      <c r="T17" s="203">
        <f>IF(V17&lt;1,0,V17-1)</f>
        <v>0</v>
      </c>
      <c r="U17" s="204"/>
      <c r="V17" s="96">
        <v>0</v>
      </c>
      <c r="W17" s="11"/>
      <c r="X17" s="12"/>
    </row>
    <row r="18" ht="15.75" customHeight="1">
      <c r="A18" s="13"/>
      <c r="B18" s="11"/>
      <c r="C18" s="35"/>
      <c r="D18" s="35"/>
      <c r="E18" s="35"/>
      <c r="F18" s="35"/>
      <c r="G18" s="35"/>
      <c r="H18" s="35"/>
      <c r="I18" s="35"/>
      <c r="J18" s="35"/>
      <c r="K18" s="35"/>
      <c r="L18" s="35"/>
      <c r="M18" s="35"/>
      <c r="N18" s="35"/>
      <c r="O18" s="35"/>
      <c r="P18" s="35"/>
      <c r="Q18" s="35"/>
      <c r="R18" s="35"/>
      <c r="S18" s="35"/>
      <c r="T18" s="35"/>
      <c r="U18" s="35"/>
      <c r="V18" s="11"/>
      <c r="W18" s="11"/>
      <c r="X18" s="12"/>
    </row>
    <row r="19" ht="15.75" customHeight="1">
      <c r="A19" s="13"/>
      <c r="B19" s="11"/>
      <c r="C19" t="s" s="102">
        <v>119</v>
      </c>
      <c r="D19" s="103"/>
      <c r="E19" s="103"/>
      <c r="F19" s="103"/>
      <c r="G19" s="103"/>
      <c r="H19" s="103"/>
      <c r="I19" s="40"/>
      <c r="J19" s="40"/>
      <c r="K19" s="40"/>
      <c r="L19" s="40"/>
      <c r="M19" s="40"/>
      <c r="N19" s="40"/>
      <c r="O19" s="40"/>
      <c r="P19" s="40"/>
      <c r="Q19" s="40"/>
      <c r="R19" s="40"/>
      <c r="S19" s="40"/>
      <c r="T19" s="40"/>
      <c r="U19" s="40"/>
      <c r="V19" s="11"/>
      <c r="W19" s="11"/>
      <c r="X19" s="12"/>
    </row>
    <row r="20" ht="90" customHeight="1">
      <c r="A20" s="13"/>
      <c r="B20" s="50"/>
      <c r="C20" s="85"/>
      <c r="D20" s="86"/>
      <c r="E20" s="86"/>
      <c r="F20" s="86"/>
      <c r="G20" s="86"/>
      <c r="H20" s="86"/>
      <c r="I20" s="86"/>
      <c r="J20" s="86"/>
      <c r="K20" s="86"/>
      <c r="L20" s="86"/>
      <c r="M20" s="86"/>
      <c r="N20" s="86"/>
      <c r="O20" s="86"/>
      <c r="P20" s="86"/>
      <c r="Q20" s="86"/>
      <c r="R20" s="86"/>
      <c r="S20" s="86"/>
      <c r="T20" s="86"/>
      <c r="U20" s="86"/>
      <c r="V20" s="11"/>
      <c r="W20" s="11"/>
      <c r="X20" s="12"/>
    </row>
    <row r="21" ht="15.75" customHeight="1">
      <c r="A21" s="13"/>
      <c r="B21" s="11"/>
      <c r="C21" s="207"/>
      <c r="D21" s="207"/>
      <c r="E21" s="207"/>
      <c r="F21" s="207"/>
      <c r="G21" s="207"/>
      <c r="H21" s="207"/>
      <c r="I21" s="207"/>
      <c r="J21" s="207"/>
      <c r="K21" s="207"/>
      <c r="L21" s="207"/>
      <c r="M21" s="207"/>
      <c r="N21" s="207"/>
      <c r="O21" s="207"/>
      <c r="P21" s="48"/>
      <c r="Q21" s="48"/>
      <c r="R21" s="48"/>
      <c r="S21" s="48"/>
      <c r="T21" s="48"/>
      <c r="U21" s="48"/>
      <c r="V21" s="11"/>
      <c r="W21" s="11"/>
      <c r="X21" s="12"/>
    </row>
    <row r="22" ht="25.5" customHeight="1">
      <c r="A22" t="s" s="95">
        <v>53</v>
      </c>
      <c r="B22" s="196">
        <v>6</v>
      </c>
      <c r="C22" t="s" s="197">
        <f>CONCATENATE(A22,B22)</f>
        <v>120</v>
      </c>
      <c r="D22" t="s" s="198">
        <v>121</v>
      </c>
      <c r="E22" s="199"/>
      <c r="F22" s="199"/>
      <c r="G22" s="199"/>
      <c r="H22" s="199"/>
      <c r="I22" s="199"/>
      <c r="J22" s="199"/>
      <c r="K22" s="200"/>
      <c r="L22" s="201"/>
      <c r="M22" s="202"/>
      <c r="N22" s="201"/>
      <c r="O22" s="202"/>
      <c r="P22" s="19"/>
      <c r="Q22" s="11"/>
      <c r="R22" s="11"/>
      <c r="S22" s="11"/>
      <c r="T22" s="11"/>
      <c r="U22" s="11"/>
      <c r="V22" s="96">
        <v>0</v>
      </c>
      <c r="W22" s="11"/>
      <c r="X22" s="12"/>
    </row>
    <row r="23" ht="15.75" customHeight="1">
      <c r="A23" s="13"/>
      <c r="B23" s="11"/>
      <c r="C23" s="35"/>
      <c r="D23" s="35"/>
      <c r="E23" s="35"/>
      <c r="F23" s="35"/>
      <c r="G23" s="35"/>
      <c r="H23" s="35"/>
      <c r="I23" s="35"/>
      <c r="J23" s="35"/>
      <c r="K23" s="35"/>
      <c r="L23" s="35"/>
      <c r="M23" s="35"/>
      <c r="N23" s="182"/>
      <c r="O23" s="182"/>
      <c r="P23" s="11"/>
      <c r="Q23" s="11"/>
      <c r="R23" s="11"/>
      <c r="S23" s="11"/>
      <c r="T23" s="14"/>
      <c r="U23" s="14"/>
      <c r="V23" s="11"/>
      <c r="W23" s="11"/>
      <c r="X23" s="12"/>
    </row>
    <row r="24" ht="15.75" customHeight="1">
      <c r="A24" s="13"/>
      <c r="B24" s="11"/>
      <c r="C24" s="11"/>
      <c r="D24" s="11"/>
      <c r="E24" s="11"/>
      <c r="F24" s="11"/>
      <c r="G24" s="11"/>
      <c r="H24" s="11"/>
      <c r="I24" s="11"/>
      <c r="J24" s="11"/>
      <c r="K24" s="11"/>
      <c r="L24" t="s" s="208">
        <v>122</v>
      </c>
      <c r="M24" s="209"/>
      <c r="N24" s="210">
        <f>SUM(T13:U17)</f>
        <v>0</v>
      </c>
      <c r="O24" s="211"/>
      <c r="P24" s="19"/>
      <c r="Q24" t="s" s="208">
        <v>123</v>
      </c>
      <c r="R24" s="212"/>
      <c r="S24" s="209"/>
      <c r="T24" s="210">
        <f>IF($N$24&lt;=1,0,IF($N$24&lt;=3,2.5,IF($N$24&lt;=5,5,IF($N$24&lt;=9,7.5,IF($N$24&lt;=15,10,"Fehler")))))</f>
        <v>0</v>
      </c>
      <c r="U24" s="213"/>
      <c r="V24" s="11"/>
      <c r="W24" s="11"/>
      <c r="X24" s="12"/>
    </row>
    <row r="25" ht="15.75" customHeight="1">
      <c r="A25" s="13"/>
      <c r="B25" s="11"/>
      <c r="C25" s="11"/>
      <c r="D25" s="11"/>
      <c r="E25" s="11"/>
      <c r="F25" s="11"/>
      <c r="G25" s="11"/>
      <c r="H25" s="11"/>
      <c r="I25" s="11"/>
      <c r="J25" s="11"/>
      <c r="K25" s="11"/>
      <c r="L25" s="14"/>
      <c r="M25" s="14"/>
      <c r="N25" s="182"/>
      <c r="O25" s="182"/>
      <c r="P25" s="14"/>
      <c r="Q25" s="14"/>
      <c r="R25" s="14"/>
      <c r="S25" s="14"/>
      <c r="T25" s="182"/>
      <c r="U25" s="182"/>
      <c r="V25" s="11"/>
      <c r="W25" s="11"/>
      <c r="X25" s="12"/>
    </row>
    <row r="26" ht="18.75" customHeight="1">
      <c r="A26" s="13"/>
      <c r="B26" s="11"/>
      <c r="C26" s="11"/>
      <c r="D26" s="11"/>
      <c r="E26" s="11"/>
      <c r="F26" s="11"/>
      <c r="G26" s="11"/>
      <c r="H26" s="11"/>
      <c r="I26" s="11"/>
      <c r="J26" s="11"/>
      <c r="K26" s="15"/>
      <c r="L26" t="s" s="214">
        <v>124</v>
      </c>
      <c r="M26" s="215"/>
      <c r="N26" s="215"/>
      <c r="O26" s="215"/>
      <c r="P26" s="215"/>
      <c r="Q26" s="215"/>
      <c r="R26" s="215"/>
      <c r="S26" s="215"/>
      <c r="T26" s="215"/>
      <c r="U26" s="216"/>
      <c r="V26" s="11"/>
      <c r="W26" s="11"/>
      <c r="X26" s="12"/>
    </row>
    <row r="27" ht="15.75" customHeight="1">
      <c r="A27" s="13"/>
      <c r="B27" s="11"/>
      <c r="C27" s="11"/>
      <c r="D27" s="11"/>
      <c r="E27" s="11"/>
      <c r="F27" s="11"/>
      <c r="G27" s="11"/>
      <c r="H27" s="11"/>
      <c r="I27" s="11"/>
      <c r="J27" s="11"/>
      <c r="K27" t="s" s="217">
        <v>122</v>
      </c>
      <c r="L27" t="s" s="218">
        <v>125</v>
      </c>
      <c r="M27" s="219"/>
      <c r="N27" t="s" s="220">
        <v>126</v>
      </c>
      <c r="O27" s="221"/>
      <c r="P27" t="s" s="220">
        <v>127</v>
      </c>
      <c r="Q27" s="221"/>
      <c r="R27" t="s" s="220">
        <v>128</v>
      </c>
      <c r="S27" s="221"/>
      <c r="T27" t="s" s="220">
        <v>129</v>
      </c>
      <c r="U27" s="204"/>
      <c r="V27" s="11"/>
      <c r="W27" s="11"/>
      <c r="X27" s="12"/>
    </row>
    <row r="28" ht="15.75" customHeight="1">
      <c r="A28" s="13"/>
      <c r="B28" s="11"/>
      <c r="C28" s="11"/>
      <c r="D28" s="11"/>
      <c r="E28" s="11"/>
      <c r="F28" s="11"/>
      <c r="G28" s="11"/>
      <c r="H28" s="11"/>
      <c r="I28" s="11"/>
      <c r="J28" s="11"/>
      <c r="K28" t="s" s="217">
        <v>130</v>
      </c>
      <c r="L28" s="222">
        <v>0</v>
      </c>
      <c r="M28" s="219"/>
      <c r="N28" s="203">
        <v>2.5</v>
      </c>
      <c r="O28" s="221"/>
      <c r="P28" s="203">
        <v>5</v>
      </c>
      <c r="Q28" s="221"/>
      <c r="R28" s="203">
        <v>7.5</v>
      </c>
      <c r="S28" s="221"/>
      <c r="T28" s="203">
        <v>10</v>
      </c>
      <c r="U28" s="204"/>
      <c r="V28" s="11"/>
      <c r="W28" s="11"/>
      <c r="X28" s="12"/>
    </row>
    <row r="29" ht="15.75" customHeight="1">
      <c r="A29" s="13"/>
      <c r="B29" s="11"/>
      <c r="C29" s="11"/>
      <c r="D29" s="11"/>
      <c r="E29" s="11"/>
      <c r="F29" s="11"/>
      <c r="G29" s="11"/>
      <c r="H29" s="11"/>
      <c r="I29" s="11"/>
      <c r="J29" s="11"/>
      <c r="K29" s="11"/>
      <c r="L29" s="35"/>
      <c r="M29" s="35"/>
      <c r="N29" s="35"/>
      <c r="O29" s="35"/>
      <c r="P29" s="35"/>
      <c r="Q29" s="35"/>
      <c r="R29" s="35"/>
      <c r="S29" s="35"/>
      <c r="T29" s="35"/>
      <c r="U29" s="35"/>
      <c r="V29" s="11"/>
      <c r="W29" s="11"/>
      <c r="X29" s="12"/>
    </row>
    <row r="30" ht="15.75" customHeight="1">
      <c r="A30" s="13"/>
      <c r="B30" s="11"/>
      <c r="C30" s="11"/>
      <c r="D30" s="11"/>
      <c r="E30" s="11"/>
      <c r="F30" s="11"/>
      <c r="G30" s="11"/>
      <c r="H30" s="11"/>
      <c r="I30" s="11"/>
      <c r="J30" s="11"/>
      <c r="K30" s="11"/>
      <c r="L30" s="11"/>
      <c r="M30" s="11"/>
      <c r="N30" s="11"/>
      <c r="O30" s="11"/>
      <c r="P30" s="11"/>
      <c r="Q30" s="11"/>
      <c r="R30" s="11"/>
      <c r="S30" s="11"/>
      <c r="T30" s="11"/>
      <c r="U30" s="11"/>
      <c r="V30" s="11"/>
      <c r="W30" s="11"/>
      <c r="X30" s="12"/>
    </row>
    <row r="31" ht="15.75" customHeight="1">
      <c r="A31" s="13"/>
      <c r="B31" s="11"/>
      <c r="C31" s="11"/>
      <c r="D31" s="11"/>
      <c r="E31" s="11"/>
      <c r="F31" s="11"/>
      <c r="G31" s="11"/>
      <c r="H31" s="11"/>
      <c r="I31" s="11"/>
      <c r="J31" s="11"/>
      <c r="K31" s="11"/>
      <c r="L31" s="11"/>
      <c r="M31" s="11"/>
      <c r="N31" s="11"/>
      <c r="O31" s="11"/>
      <c r="P31" s="11"/>
      <c r="Q31" s="11"/>
      <c r="R31" s="11"/>
      <c r="S31" s="11"/>
      <c r="T31" s="11"/>
      <c r="U31" s="11"/>
      <c r="V31" s="11"/>
      <c r="W31" s="11"/>
      <c r="X31" s="12"/>
    </row>
    <row r="32" ht="15.75" customHeight="1">
      <c r="A32" s="13"/>
      <c r="B32" s="11"/>
      <c r="C32" s="11"/>
      <c r="D32" s="11"/>
      <c r="E32" s="11"/>
      <c r="F32" s="11"/>
      <c r="G32" s="11"/>
      <c r="H32" s="11"/>
      <c r="I32" s="11"/>
      <c r="J32" s="11"/>
      <c r="K32" s="11"/>
      <c r="L32" s="11"/>
      <c r="M32" s="11"/>
      <c r="N32" s="11"/>
      <c r="O32" s="11"/>
      <c r="P32" s="11"/>
      <c r="Q32" s="11"/>
      <c r="R32" s="11"/>
      <c r="S32" s="11"/>
      <c r="T32" s="11"/>
      <c r="U32" s="11"/>
      <c r="V32" s="11"/>
      <c r="W32" s="11"/>
      <c r="X32" s="12"/>
    </row>
    <row r="33" ht="15.75" customHeight="1">
      <c r="A33" s="173"/>
      <c r="B33" s="223"/>
      <c r="C33" s="223"/>
      <c r="D33" s="223"/>
      <c r="E33" s="223"/>
      <c r="F33" s="223"/>
      <c r="G33" s="223"/>
      <c r="H33" s="223"/>
      <c r="I33" s="223"/>
      <c r="J33" s="223"/>
      <c r="K33" s="223"/>
      <c r="L33" s="223"/>
      <c r="M33" s="223"/>
      <c r="N33" s="223"/>
      <c r="O33" s="223"/>
      <c r="P33" s="223"/>
      <c r="Q33" s="223"/>
      <c r="R33" s="223"/>
      <c r="S33" s="223"/>
      <c r="T33" s="223"/>
      <c r="U33" s="223"/>
      <c r="V33" s="223"/>
      <c r="W33" s="223"/>
      <c r="X33" s="176"/>
    </row>
  </sheetData>
  <mergeCells count="63">
    <mergeCell ref="C4:U4"/>
    <mergeCell ref="Q5:S5"/>
    <mergeCell ref="T5:U5"/>
    <mergeCell ref="C6:F6"/>
    <mergeCell ref="G6:H6"/>
    <mergeCell ref="L22:M22"/>
    <mergeCell ref="N22:O22"/>
    <mergeCell ref="P15:Q15"/>
    <mergeCell ref="R15:S15"/>
    <mergeCell ref="D16:K16"/>
    <mergeCell ref="D17:K17"/>
    <mergeCell ref="L15:M15"/>
    <mergeCell ref="L16:M16"/>
    <mergeCell ref="L17:M17"/>
    <mergeCell ref="R16:S16"/>
    <mergeCell ref="P16:Q16"/>
    <mergeCell ref="P17:Q17"/>
    <mergeCell ref="N15:O15"/>
    <mergeCell ref="D15:K15"/>
    <mergeCell ref="C19:H19"/>
    <mergeCell ref="C8:U8"/>
    <mergeCell ref="R13:S13"/>
    <mergeCell ref="T13:U13"/>
    <mergeCell ref="P14:Q14"/>
    <mergeCell ref="R14:S14"/>
    <mergeCell ref="T14:U14"/>
    <mergeCell ref="N13:O13"/>
    <mergeCell ref="N14:O14"/>
    <mergeCell ref="L14:M14"/>
    <mergeCell ref="D14:K14"/>
    <mergeCell ref="L13:M13"/>
    <mergeCell ref="C10:U10"/>
    <mergeCell ref="N12:O12"/>
    <mergeCell ref="C12:K12"/>
    <mergeCell ref="P13:Q13"/>
    <mergeCell ref="D13:K13"/>
    <mergeCell ref="T12:U12"/>
    <mergeCell ref="R12:S12"/>
    <mergeCell ref="P12:Q12"/>
    <mergeCell ref="L12:M12"/>
    <mergeCell ref="L24:M24"/>
    <mergeCell ref="N16:O16"/>
    <mergeCell ref="N17:O17"/>
    <mergeCell ref="N24:O24"/>
    <mergeCell ref="T24:U24"/>
    <mergeCell ref="Q24:S24"/>
    <mergeCell ref="C20:U20"/>
    <mergeCell ref="D22:K22"/>
    <mergeCell ref="T16:U16"/>
    <mergeCell ref="R17:S17"/>
    <mergeCell ref="T17:U17"/>
    <mergeCell ref="T15:U15"/>
    <mergeCell ref="T27:U27"/>
    <mergeCell ref="T28:U28"/>
    <mergeCell ref="L26:U26"/>
    <mergeCell ref="R27:S27"/>
    <mergeCell ref="R28:S28"/>
    <mergeCell ref="P27:Q27"/>
    <mergeCell ref="P28:Q28"/>
    <mergeCell ref="N27:O27"/>
    <mergeCell ref="N28:O28"/>
    <mergeCell ref="L27:M27"/>
    <mergeCell ref="L28:M28"/>
  </mergeCells>
  <pageMargins left="0.59" right="0.59" top="0.629921" bottom="0.98" header="0.51" footer="0.51"/>
  <pageSetup firstPageNumber="1" fitToHeight="1" fitToWidth="1" scale="74" useFirstPageNumber="0" orientation="portrait" pageOrder="downThenOver"/>
  <drawing r:id="rId1"/>
  <legacyDrawing r:id="rId2"/>
</worksheet>
</file>

<file path=xl/worksheets/sheet4.xml><?xml version="1.0" encoding="utf-8"?>
<worksheet xmlns:r="http://schemas.openxmlformats.org/officeDocument/2006/relationships" xmlns="http://schemas.openxmlformats.org/spreadsheetml/2006/main">
  <dimension ref="A1:W32"/>
  <sheetViews>
    <sheetView workbookViewId="0" showGridLines="0" defaultGridColor="1"/>
  </sheetViews>
  <sheetFormatPr defaultColWidth="5.83333" defaultRowHeight="15.75" customHeight="1" outlineLevelRow="0" outlineLevelCol="0"/>
  <cols>
    <col min="1" max="21" width="5.85156" style="224" customWidth="1"/>
    <col min="22" max="22" hidden="1" width="5.83333" style="224" customWidth="1"/>
    <col min="23" max="23" width="5.85156" style="224" customWidth="1"/>
    <col min="24" max="16384" width="5.85156" style="224" customWidth="1"/>
  </cols>
  <sheetData>
    <row r="1" ht="15.75" customHeight="1">
      <c r="A1" s="7"/>
      <c r="B1" s="8"/>
      <c r="C1" s="8"/>
      <c r="D1" s="8"/>
      <c r="E1" s="8"/>
      <c r="F1" s="8"/>
      <c r="G1" s="8"/>
      <c r="H1" s="8"/>
      <c r="I1" s="8"/>
      <c r="J1" s="8"/>
      <c r="K1" s="8"/>
      <c r="L1" s="8"/>
      <c r="M1" s="8"/>
      <c r="N1" s="8"/>
      <c r="O1" s="8"/>
      <c r="P1" s="8"/>
      <c r="Q1" s="8"/>
      <c r="R1" s="8"/>
      <c r="S1" s="8"/>
      <c r="T1" s="8"/>
      <c r="U1" s="8"/>
      <c r="V1" s="8"/>
      <c r="W1" s="9"/>
    </row>
    <row r="2" ht="15.75" customHeight="1">
      <c r="A2" t="s" s="10">
        <v>6</v>
      </c>
      <c r="B2" s="11"/>
      <c r="C2" s="11"/>
      <c r="D2" s="11"/>
      <c r="E2" s="11"/>
      <c r="F2" s="11"/>
      <c r="G2" s="11"/>
      <c r="H2" s="11"/>
      <c r="I2" s="11"/>
      <c r="J2" s="11"/>
      <c r="K2" s="11"/>
      <c r="L2" s="11"/>
      <c r="M2" s="11"/>
      <c r="N2" s="11"/>
      <c r="O2" s="11"/>
      <c r="P2" s="11"/>
      <c r="Q2" s="11"/>
      <c r="R2" s="11"/>
      <c r="S2" s="11"/>
      <c r="T2" s="11"/>
      <c r="U2" s="11"/>
      <c r="V2" s="225"/>
      <c r="W2" s="12"/>
    </row>
    <row r="3" ht="15.75" customHeight="1">
      <c r="A3" s="13"/>
      <c r="B3" s="11"/>
      <c r="C3" s="14"/>
      <c r="D3" s="14"/>
      <c r="E3" s="14"/>
      <c r="F3" s="14"/>
      <c r="G3" s="14"/>
      <c r="H3" s="14"/>
      <c r="I3" s="14"/>
      <c r="J3" s="14"/>
      <c r="K3" s="14"/>
      <c r="L3" s="14"/>
      <c r="M3" s="14"/>
      <c r="N3" s="14"/>
      <c r="O3" s="14"/>
      <c r="P3" s="14"/>
      <c r="Q3" s="14"/>
      <c r="R3" s="14"/>
      <c r="S3" s="14"/>
      <c r="T3" s="14"/>
      <c r="U3" s="14"/>
      <c r="V3" s="11"/>
      <c r="W3" s="12"/>
    </row>
    <row r="4" ht="18.75" customHeight="1">
      <c r="A4" s="13"/>
      <c r="B4" s="15"/>
      <c r="C4" t="s" s="16">
        <v>7</v>
      </c>
      <c r="D4" s="17"/>
      <c r="E4" s="17"/>
      <c r="F4" s="17"/>
      <c r="G4" s="17"/>
      <c r="H4" s="17"/>
      <c r="I4" s="17"/>
      <c r="J4" s="17"/>
      <c r="K4" s="17"/>
      <c r="L4" s="17"/>
      <c r="M4" s="17"/>
      <c r="N4" s="17"/>
      <c r="O4" s="17"/>
      <c r="P4" s="17"/>
      <c r="Q4" s="17"/>
      <c r="R4" s="17"/>
      <c r="S4" s="17"/>
      <c r="T4" s="17"/>
      <c r="U4" s="17"/>
      <c r="V4" s="178"/>
      <c r="W4" s="12"/>
    </row>
    <row r="5"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8"/>
      <c r="V5" s="179"/>
      <c r="W5" s="12"/>
    </row>
    <row r="6" ht="18" customHeight="1">
      <c r="A6" s="20"/>
      <c r="B6" s="21"/>
      <c r="C6" t="s" s="30">
        <v>11</v>
      </c>
      <c r="D6" s="31"/>
      <c r="E6" s="31"/>
      <c r="F6" s="31"/>
      <c r="G6" s="32">
        <f>'Kap. 1, 2, 3'!G6:H6</f>
      </c>
      <c r="H6" s="32"/>
      <c r="I6" s="33"/>
      <c r="J6" s="33"/>
      <c r="K6" s="33"/>
      <c r="L6" s="33"/>
      <c r="M6" s="33"/>
      <c r="N6" s="33"/>
      <c r="O6" s="33"/>
      <c r="P6" s="33"/>
      <c r="Q6" s="33"/>
      <c r="R6" s="33"/>
      <c r="S6" s="33"/>
      <c r="T6" s="33"/>
      <c r="U6" s="33"/>
      <c r="V6" s="179"/>
      <c r="W6" s="12"/>
    </row>
    <row r="7" ht="15.75" customHeight="1">
      <c r="A7" s="13"/>
      <c r="B7" s="11"/>
      <c r="C7" s="35"/>
      <c r="D7" s="35"/>
      <c r="E7" s="35"/>
      <c r="F7" s="35"/>
      <c r="G7" s="35"/>
      <c r="H7" s="35"/>
      <c r="I7" s="35"/>
      <c r="J7" s="35"/>
      <c r="K7" s="35"/>
      <c r="L7" s="35"/>
      <c r="M7" s="35"/>
      <c r="N7" s="35"/>
      <c r="O7" s="35"/>
      <c r="P7" s="35"/>
      <c r="Q7" s="35"/>
      <c r="R7" s="35"/>
      <c r="S7" s="35"/>
      <c r="T7" s="35"/>
      <c r="U7" s="35"/>
      <c r="V7" s="11"/>
      <c r="W7" s="12"/>
    </row>
    <row r="8" ht="21" customHeight="1">
      <c r="A8" s="13"/>
      <c r="B8" s="11"/>
      <c r="C8" t="s" s="38">
        <v>105</v>
      </c>
      <c r="D8" s="39"/>
      <c r="E8" s="39"/>
      <c r="F8" s="39"/>
      <c r="G8" s="39"/>
      <c r="H8" s="39"/>
      <c r="I8" s="39"/>
      <c r="J8" s="39"/>
      <c r="K8" s="39"/>
      <c r="L8" s="39"/>
      <c r="M8" s="39"/>
      <c r="N8" s="39"/>
      <c r="O8" s="39"/>
      <c r="P8" s="39"/>
      <c r="Q8" s="39"/>
      <c r="R8" s="39"/>
      <c r="S8" s="39"/>
      <c r="T8" s="39"/>
      <c r="U8" s="39"/>
      <c r="V8" s="11"/>
      <c r="W8" s="12"/>
    </row>
    <row r="9" ht="15.75" customHeight="1">
      <c r="A9" s="13"/>
      <c r="B9" s="11"/>
      <c r="C9" s="14"/>
      <c r="D9" s="14"/>
      <c r="E9" s="14"/>
      <c r="F9" s="14"/>
      <c r="G9" s="14"/>
      <c r="H9" s="14"/>
      <c r="I9" s="14"/>
      <c r="J9" s="14"/>
      <c r="K9" s="14"/>
      <c r="L9" s="14"/>
      <c r="M9" s="14"/>
      <c r="N9" s="14"/>
      <c r="O9" s="14"/>
      <c r="P9" s="14"/>
      <c r="Q9" s="14"/>
      <c r="R9" s="14"/>
      <c r="S9" s="14"/>
      <c r="T9" s="14"/>
      <c r="U9" s="14"/>
      <c r="V9" s="11"/>
      <c r="W9" s="12"/>
    </row>
    <row r="10" ht="18.75" customHeight="1">
      <c r="A10" s="13"/>
      <c r="B10" s="15"/>
      <c r="C10" t="s" s="180">
        <v>132</v>
      </c>
      <c r="D10" s="181"/>
      <c r="E10" s="181"/>
      <c r="F10" s="181"/>
      <c r="G10" s="181"/>
      <c r="H10" s="181"/>
      <c r="I10" s="181"/>
      <c r="J10" s="181"/>
      <c r="K10" s="181"/>
      <c r="L10" s="181"/>
      <c r="M10" s="181"/>
      <c r="N10" s="181"/>
      <c r="O10" s="181"/>
      <c r="P10" s="181"/>
      <c r="Q10" s="181"/>
      <c r="R10" s="181"/>
      <c r="S10" s="181"/>
      <c r="T10" s="181"/>
      <c r="U10" s="181"/>
      <c r="V10" s="11"/>
      <c r="W10" s="12"/>
    </row>
    <row r="11" ht="15.75" customHeight="1">
      <c r="A11" s="13"/>
      <c r="B11" s="11"/>
      <c r="C11" s="182"/>
      <c r="D11" s="182"/>
      <c r="E11" s="182"/>
      <c r="F11" s="182"/>
      <c r="G11" s="182"/>
      <c r="H11" s="182"/>
      <c r="I11" s="182"/>
      <c r="J11" s="182"/>
      <c r="K11" s="182"/>
      <c r="L11" s="182"/>
      <c r="M11" s="182"/>
      <c r="N11" s="182"/>
      <c r="O11" s="182"/>
      <c r="P11" s="182"/>
      <c r="Q11" s="182"/>
      <c r="R11" s="182"/>
      <c r="S11" s="182"/>
      <c r="T11" s="182"/>
      <c r="U11" s="182"/>
      <c r="V11" s="11"/>
      <c r="W11" s="12"/>
    </row>
    <row r="12" ht="45" customHeight="1">
      <c r="A12" s="13"/>
      <c r="B12" s="15"/>
      <c r="C12" t="s" s="183">
        <v>107</v>
      </c>
      <c r="D12" s="184"/>
      <c r="E12" s="184"/>
      <c r="F12" s="184"/>
      <c r="G12" s="184"/>
      <c r="H12" s="184"/>
      <c r="I12" s="184"/>
      <c r="J12" s="184"/>
      <c r="K12" s="185"/>
      <c r="L12" t="s" s="186">
        <v>133</v>
      </c>
      <c r="M12" s="187"/>
      <c r="N12" t="s" s="188">
        <v>134</v>
      </c>
      <c r="O12" s="189"/>
      <c r="P12" t="s" s="190">
        <v>135</v>
      </c>
      <c r="Q12" s="191"/>
      <c r="R12" t="s" s="192">
        <v>136</v>
      </c>
      <c r="S12" s="193"/>
      <c r="T12" t="s" s="194">
        <v>112</v>
      </c>
      <c r="U12" s="195"/>
      <c r="V12" s="11"/>
      <c r="W12" s="12"/>
    </row>
    <row r="13" ht="25.5" customHeight="1">
      <c r="A13" t="s" s="95">
        <v>137</v>
      </c>
      <c r="B13" s="196">
        <v>1</v>
      </c>
      <c r="C13" t="s" s="197">
        <f>CONCATENATE(A13,B13)</f>
        <v>138</v>
      </c>
      <c r="D13" t="s" s="198">
        <v>139</v>
      </c>
      <c r="E13" s="199"/>
      <c r="F13" s="199"/>
      <c r="G13" s="199"/>
      <c r="H13" s="199"/>
      <c r="I13" s="199"/>
      <c r="J13" s="199"/>
      <c r="K13" s="200"/>
      <c r="L13" s="201"/>
      <c r="M13" s="202"/>
      <c r="N13" s="201"/>
      <c r="O13" s="202"/>
      <c r="P13" s="201"/>
      <c r="Q13" s="202"/>
      <c r="R13" s="201"/>
      <c r="S13" s="202"/>
      <c r="T13" s="203">
        <f>IF(V13&lt;1,0,V13-1)</f>
        <v>0</v>
      </c>
      <c r="U13" s="204"/>
      <c r="V13" s="96">
        <v>0</v>
      </c>
      <c r="W13" s="12"/>
    </row>
    <row r="14" ht="25.5" customHeight="1">
      <c r="A14" t="s" s="95">
        <v>137</v>
      </c>
      <c r="B14" s="196">
        <v>2</v>
      </c>
      <c r="C14" t="s" s="197">
        <f>CONCATENATE(A14,B14)</f>
        <v>140</v>
      </c>
      <c r="D14" t="s" s="198">
        <v>141</v>
      </c>
      <c r="E14" s="199"/>
      <c r="F14" s="199"/>
      <c r="G14" s="199"/>
      <c r="H14" s="199"/>
      <c r="I14" s="199"/>
      <c r="J14" s="199"/>
      <c r="K14" s="200"/>
      <c r="L14" s="201"/>
      <c r="M14" s="202"/>
      <c r="N14" s="201"/>
      <c r="O14" s="202"/>
      <c r="P14" s="201"/>
      <c r="Q14" s="202"/>
      <c r="R14" s="201"/>
      <c r="S14" s="202"/>
      <c r="T14" s="203">
        <f>IF(V14&lt;1,0,V14-1)</f>
        <v>0</v>
      </c>
      <c r="U14" s="204"/>
      <c r="V14" s="96">
        <v>0</v>
      </c>
      <c r="W14" s="12"/>
    </row>
    <row r="15" ht="25.5" customHeight="1">
      <c r="A15" t="s" s="95">
        <v>137</v>
      </c>
      <c r="B15" s="196">
        <v>3</v>
      </c>
      <c r="C15" t="s" s="197">
        <f>CONCATENATE(A15,B15)</f>
        <v>142</v>
      </c>
      <c r="D15" t="s" s="198">
        <v>143</v>
      </c>
      <c r="E15" s="199"/>
      <c r="F15" s="199"/>
      <c r="G15" s="199"/>
      <c r="H15" s="199"/>
      <c r="I15" s="199"/>
      <c r="J15" s="199"/>
      <c r="K15" s="200"/>
      <c r="L15" s="201"/>
      <c r="M15" s="202"/>
      <c r="N15" s="201"/>
      <c r="O15" s="202"/>
      <c r="P15" s="201"/>
      <c r="Q15" s="202"/>
      <c r="R15" s="201"/>
      <c r="S15" s="202"/>
      <c r="T15" s="203">
        <f>IF(V15&lt;1,0,V15-1)</f>
        <v>0</v>
      </c>
      <c r="U15" s="204"/>
      <c r="V15" s="96">
        <v>0</v>
      </c>
      <c r="W15" s="12"/>
    </row>
    <row r="16" ht="25.5" customHeight="1">
      <c r="A16" t="s" s="95">
        <v>137</v>
      </c>
      <c r="B16" s="196">
        <v>4</v>
      </c>
      <c r="C16" t="s" s="197">
        <f>CONCATENATE(A16,B16)</f>
        <v>144</v>
      </c>
      <c r="D16" t="s" s="198">
        <v>145</v>
      </c>
      <c r="E16" s="199"/>
      <c r="F16" s="199"/>
      <c r="G16" s="199"/>
      <c r="H16" s="199"/>
      <c r="I16" s="199"/>
      <c r="J16" s="199"/>
      <c r="K16" s="200"/>
      <c r="L16" s="201"/>
      <c r="M16" s="202"/>
      <c r="N16" s="201"/>
      <c r="O16" s="202"/>
      <c r="P16" s="201"/>
      <c r="Q16" s="202"/>
      <c r="R16" s="201"/>
      <c r="S16" s="202"/>
      <c r="T16" s="203">
        <f>IF(V16&lt;1,0,V16-1)</f>
        <v>0</v>
      </c>
      <c r="U16" s="204"/>
      <c r="V16" s="96">
        <v>0</v>
      </c>
      <c r="W16" s="12"/>
    </row>
    <row r="17" ht="25.5" customHeight="1">
      <c r="A17" t="s" s="95">
        <v>137</v>
      </c>
      <c r="B17" s="196">
        <v>5</v>
      </c>
      <c r="C17" t="s" s="197">
        <f>CONCATENATE(A17,B17)</f>
        <v>146</v>
      </c>
      <c r="D17" t="s" s="198">
        <v>147</v>
      </c>
      <c r="E17" s="199"/>
      <c r="F17" s="199"/>
      <c r="G17" s="199"/>
      <c r="H17" s="199"/>
      <c r="I17" s="199"/>
      <c r="J17" s="199"/>
      <c r="K17" s="200"/>
      <c r="L17" s="201"/>
      <c r="M17" s="202"/>
      <c r="N17" s="201"/>
      <c r="O17" s="202"/>
      <c r="P17" s="201"/>
      <c r="Q17" s="202"/>
      <c r="R17" s="201"/>
      <c r="S17" s="202"/>
      <c r="T17" s="203">
        <f>IF(V17&lt;1,0,V17-1)</f>
        <v>0</v>
      </c>
      <c r="U17" s="204"/>
      <c r="V17" s="96">
        <v>0</v>
      </c>
      <c r="W17" s="12"/>
    </row>
    <row r="18" ht="25.5" customHeight="1">
      <c r="A18" t="s" s="95">
        <v>137</v>
      </c>
      <c r="B18" s="196">
        <v>6</v>
      </c>
      <c r="C18" t="s" s="197">
        <f>CONCATENATE(A18,B18)</f>
        <v>148</v>
      </c>
      <c r="D18" t="s" s="198">
        <v>149</v>
      </c>
      <c r="E18" s="199"/>
      <c r="F18" s="199"/>
      <c r="G18" s="199"/>
      <c r="H18" s="199"/>
      <c r="I18" s="199"/>
      <c r="J18" s="199"/>
      <c r="K18" s="200"/>
      <c r="L18" s="201"/>
      <c r="M18" s="202"/>
      <c r="N18" s="201"/>
      <c r="O18" s="202"/>
      <c r="P18" s="201"/>
      <c r="Q18" s="202"/>
      <c r="R18" s="201"/>
      <c r="S18" s="202"/>
      <c r="T18" s="203">
        <f>IF(V18&lt;1,0,V18-1)</f>
        <v>0</v>
      </c>
      <c r="U18" s="204"/>
      <c r="V18" s="96">
        <v>0</v>
      </c>
      <c r="W18" s="12"/>
    </row>
    <row r="19" ht="25.5" customHeight="1">
      <c r="A19" t="s" s="95">
        <v>137</v>
      </c>
      <c r="B19" s="196">
        <v>7</v>
      </c>
      <c r="C19" t="s" s="197">
        <f>CONCATENATE(A19,B19)</f>
        <v>150</v>
      </c>
      <c r="D19" t="s" s="198">
        <v>151</v>
      </c>
      <c r="E19" s="199"/>
      <c r="F19" s="199"/>
      <c r="G19" s="199"/>
      <c r="H19" s="199"/>
      <c r="I19" s="199"/>
      <c r="J19" s="199"/>
      <c r="K19" s="200"/>
      <c r="L19" s="201"/>
      <c r="M19" s="202"/>
      <c r="N19" s="201"/>
      <c r="O19" s="202"/>
      <c r="P19" s="201"/>
      <c r="Q19" s="202"/>
      <c r="R19" s="201"/>
      <c r="S19" s="202"/>
      <c r="T19" s="203">
        <f>IF(V19&lt;1,0,V19-1)</f>
        <v>0</v>
      </c>
      <c r="U19" s="204"/>
      <c r="V19" s="96">
        <v>0</v>
      </c>
      <c r="W19" s="12"/>
    </row>
    <row r="20" ht="25.5" customHeight="1">
      <c r="A20" t="s" s="95">
        <v>137</v>
      </c>
      <c r="B20" s="196">
        <v>8</v>
      </c>
      <c r="C20" t="s" s="197">
        <f>CONCATENATE(A20,B20)</f>
        <v>152</v>
      </c>
      <c r="D20" t="s" s="198">
        <v>153</v>
      </c>
      <c r="E20" s="199"/>
      <c r="F20" s="199"/>
      <c r="G20" s="199"/>
      <c r="H20" s="199"/>
      <c r="I20" s="199"/>
      <c r="J20" s="199"/>
      <c r="K20" s="200"/>
      <c r="L20" s="201"/>
      <c r="M20" s="202"/>
      <c r="N20" s="201"/>
      <c r="O20" s="202"/>
      <c r="P20" s="201"/>
      <c r="Q20" s="202"/>
      <c r="R20" s="201"/>
      <c r="S20" s="202"/>
      <c r="T20" s="203">
        <f>IF(V20&lt;1,0,V20-1)</f>
        <v>0</v>
      </c>
      <c r="U20" s="204"/>
      <c r="V20" s="96">
        <v>0</v>
      </c>
      <c r="W20" s="12"/>
    </row>
    <row r="21" ht="25.5" customHeight="1">
      <c r="A21" t="s" s="95">
        <v>137</v>
      </c>
      <c r="B21" s="196">
        <v>9</v>
      </c>
      <c r="C21" t="s" s="197">
        <f>CONCATENATE(A21,B21)</f>
        <v>154</v>
      </c>
      <c r="D21" t="s" s="198">
        <v>155</v>
      </c>
      <c r="E21" s="199"/>
      <c r="F21" s="199"/>
      <c r="G21" s="199"/>
      <c r="H21" s="199"/>
      <c r="I21" s="199"/>
      <c r="J21" s="199"/>
      <c r="K21" s="200"/>
      <c r="L21" s="201"/>
      <c r="M21" s="202"/>
      <c r="N21" s="201"/>
      <c r="O21" s="202"/>
      <c r="P21" s="201"/>
      <c r="Q21" s="202"/>
      <c r="R21" s="201"/>
      <c r="S21" s="202"/>
      <c r="T21" s="203">
        <f>IF(V21&lt;1,0,V21-1)</f>
        <v>0</v>
      </c>
      <c r="U21" s="204"/>
      <c r="V21" s="96">
        <v>0</v>
      </c>
      <c r="W21" s="12"/>
    </row>
    <row r="22" ht="25.5" customHeight="1">
      <c r="A22" t="s" s="95">
        <v>137</v>
      </c>
      <c r="B22" s="196">
        <v>10</v>
      </c>
      <c r="C22" t="s" s="197">
        <f>CONCATENATE(A22,B22)</f>
        <v>156</v>
      </c>
      <c r="D22" t="s" s="198">
        <v>157</v>
      </c>
      <c r="E22" s="199"/>
      <c r="F22" s="199"/>
      <c r="G22" s="199"/>
      <c r="H22" s="199"/>
      <c r="I22" s="199"/>
      <c r="J22" s="199"/>
      <c r="K22" s="200"/>
      <c r="L22" s="201"/>
      <c r="M22" s="202"/>
      <c r="N22" s="201"/>
      <c r="O22" s="202"/>
      <c r="P22" s="201"/>
      <c r="Q22" s="202"/>
      <c r="R22" s="201"/>
      <c r="S22" s="202"/>
      <c r="T22" s="203">
        <f>IF(V22&lt;1,0,V22-1)</f>
        <v>0</v>
      </c>
      <c r="U22" s="204"/>
      <c r="V22" s="96">
        <v>0</v>
      </c>
      <c r="W22" s="12"/>
    </row>
    <row r="23" ht="25.5" customHeight="1">
      <c r="A23" t="s" s="95">
        <v>137</v>
      </c>
      <c r="B23" s="196">
        <v>11</v>
      </c>
      <c r="C23" t="s" s="197">
        <f>CONCATENATE(A23,B23)</f>
        <v>158</v>
      </c>
      <c r="D23" t="s" s="198">
        <v>159</v>
      </c>
      <c r="E23" s="199"/>
      <c r="F23" s="199"/>
      <c r="G23" s="199"/>
      <c r="H23" s="199"/>
      <c r="I23" s="199"/>
      <c r="J23" s="199"/>
      <c r="K23" s="200"/>
      <c r="L23" s="201"/>
      <c r="M23" s="202"/>
      <c r="N23" s="201"/>
      <c r="O23" s="202"/>
      <c r="P23" s="201"/>
      <c r="Q23" s="202"/>
      <c r="R23" s="201"/>
      <c r="S23" s="202"/>
      <c r="T23" s="203">
        <f>IF(V23&lt;1,0,V23-1)</f>
        <v>0</v>
      </c>
      <c r="U23" s="204"/>
      <c r="V23" s="96">
        <v>0</v>
      </c>
      <c r="W23" s="12"/>
    </row>
    <row r="24" ht="15.75" customHeight="1">
      <c r="A24" s="13"/>
      <c r="B24" s="11"/>
      <c r="C24" s="35"/>
      <c r="D24" s="35"/>
      <c r="E24" s="35"/>
      <c r="F24" s="35"/>
      <c r="G24" s="35"/>
      <c r="H24" s="35"/>
      <c r="I24" s="35"/>
      <c r="J24" s="35"/>
      <c r="K24" s="35"/>
      <c r="L24" s="35"/>
      <c r="M24" s="35"/>
      <c r="N24" s="35"/>
      <c r="O24" s="35"/>
      <c r="P24" s="35"/>
      <c r="Q24" s="35"/>
      <c r="R24" s="35"/>
      <c r="S24" s="35"/>
      <c r="T24" s="35"/>
      <c r="U24" s="35"/>
      <c r="V24" s="11"/>
      <c r="W24" s="12"/>
    </row>
    <row r="25" ht="15.75" customHeight="1">
      <c r="A25" s="13"/>
      <c r="B25" s="11"/>
      <c r="C25" t="s" s="102">
        <v>119</v>
      </c>
      <c r="D25" s="103"/>
      <c r="E25" s="103"/>
      <c r="F25" s="103"/>
      <c r="G25" s="103"/>
      <c r="H25" s="103"/>
      <c r="I25" s="40"/>
      <c r="J25" s="40"/>
      <c r="K25" s="40"/>
      <c r="L25" s="40"/>
      <c r="M25" s="40"/>
      <c r="N25" s="40"/>
      <c r="O25" s="40"/>
      <c r="P25" s="40"/>
      <c r="Q25" s="40"/>
      <c r="R25" s="40"/>
      <c r="S25" s="40"/>
      <c r="T25" s="40"/>
      <c r="U25" s="40"/>
      <c r="V25" s="11"/>
      <c r="W25" s="12"/>
    </row>
    <row r="26" ht="90" customHeight="1">
      <c r="A26" s="13"/>
      <c r="B26" s="50"/>
      <c r="C26" s="85"/>
      <c r="D26" s="86"/>
      <c r="E26" s="86"/>
      <c r="F26" s="86"/>
      <c r="G26" s="86"/>
      <c r="H26" s="86"/>
      <c r="I26" s="86"/>
      <c r="J26" s="86"/>
      <c r="K26" s="86"/>
      <c r="L26" s="86"/>
      <c r="M26" s="86"/>
      <c r="N26" s="86"/>
      <c r="O26" s="86"/>
      <c r="P26" s="86"/>
      <c r="Q26" s="86"/>
      <c r="R26" s="86"/>
      <c r="S26" s="86"/>
      <c r="T26" s="86"/>
      <c r="U26" s="86"/>
      <c r="V26" s="11"/>
      <c r="W26" s="12"/>
    </row>
    <row r="27" ht="15.75" customHeight="1">
      <c r="A27" s="13"/>
      <c r="B27" s="11"/>
      <c r="C27" s="48"/>
      <c r="D27" s="48"/>
      <c r="E27" s="48"/>
      <c r="F27" s="48"/>
      <c r="G27" s="48"/>
      <c r="H27" s="48"/>
      <c r="I27" s="48"/>
      <c r="J27" s="48"/>
      <c r="K27" s="48"/>
      <c r="L27" s="48"/>
      <c r="M27" s="48"/>
      <c r="N27" s="207"/>
      <c r="O27" s="207"/>
      <c r="P27" s="48"/>
      <c r="Q27" s="48"/>
      <c r="R27" s="48"/>
      <c r="S27" s="48"/>
      <c r="T27" s="207"/>
      <c r="U27" s="207"/>
      <c r="V27" s="11"/>
      <c r="W27" s="12"/>
    </row>
    <row r="28" ht="15.75" customHeight="1">
      <c r="A28" s="13"/>
      <c r="B28" s="11"/>
      <c r="C28" s="11"/>
      <c r="D28" s="11"/>
      <c r="E28" s="11"/>
      <c r="F28" s="11"/>
      <c r="G28" s="11"/>
      <c r="H28" s="11"/>
      <c r="I28" s="11"/>
      <c r="J28" s="11"/>
      <c r="K28" s="11"/>
      <c r="L28" t="s" s="208">
        <v>122</v>
      </c>
      <c r="M28" s="209"/>
      <c r="N28" s="210">
        <f>SUM(T13:U23)</f>
        <v>0</v>
      </c>
      <c r="O28" s="211"/>
      <c r="P28" s="19"/>
      <c r="Q28" t="s" s="208">
        <v>123</v>
      </c>
      <c r="R28" s="212"/>
      <c r="S28" s="209"/>
      <c r="T28" s="210">
        <f>IF($N$28&lt;=1,0,IF($N$28&lt;=5,3.75,IF($N$28&lt;=10,7.5,IF($N$28&lt;=16,11.25,IF($N$28&lt;=33,15,"Fehler")))))</f>
        <v>0</v>
      </c>
      <c r="U28" s="213"/>
      <c r="V28" s="11"/>
      <c r="W28" s="12"/>
    </row>
    <row r="29" ht="15.75" customHeight="1">
      <c r="A29" s="13"/>
      <c r="B29" s="11"/>
      <c r="C29" s="11"/>
      <c r="D29" s="11"/>
      <c r="E29" s="11"/>
      <c r="F29" s="11"/>
      <c r="G29" s="11"/>
      <c r="H29" s="11"/>
      <c r="I29" s="11"/>
      <c r="J29" s="11"/>
      <c r="K29" s="11"/>
      <c r="L29" s="14"/>
      <c r="M29" s="14"/>
      <c r="N29" s="182"/>
      <c r="O29" s="182"/>
      <c r="P29" s="14"/>
      <c r="Q29" s="14"/>
      <c r="R29" s="14"/>
      <c r="S29" s="14"/>
      <c r="T29" s="182"/>
      <c r="U29" s="182"/>
      <c r="V29" s="11"/>
      <c r="W29" s="12"/>
    </row>
    <row r="30" ht="18.75" customHeight="1">
      <c r="A30" s="13"/>
      <c r="B30" s="11"/>
      <c r="C30" s="11"/>
      <c r="D30" s="11"/>
      <c r="E30" s="11"/>
      <c r="F30" s="11"/>
      <c r="G30" s="11"/>
      <c r="H30" s="11"/>
      <c r="I30" s="11"/>
      <c r="J30" s="11"/>
      <c r="K30" s="15"/>
      <c r="L30" t="s" s="214">
        <v>124</v>
      </c>
      <c r="M30" s="215"/>
      <c r="N30" s="215"/>
      <c r="O30" s="215"/>
      <c r="P30" s="215"/>
      <c r="Q30" s="215"/>
      <c r="R30" s="215"/>
      <c r="S30" s="215"/>
      <c r="T30" s="215"/>
      <c r="U30" s="216"/>
      <c r="V30" s="11"/>
      <c r="W30" s="12"/>
    </row>
    <row r="31" ht="15.75" customHeight="1">
      <c r="A31" s="13"/>
      <c r="B31" s="11"/>
      <c r="C31" s="11"/>
      <c r="D31" s="11"/>
      <c r="E31" s="11"/>
      <c r="F31" s="11"/>
      <c r="G31" s="11"/>
      <c r="H31" s="11"/>
      <c r="I31" s="11"/>
      <c r="J31" s="11"/>
      <c r="K31" t="s" s="217">
        <v>122</v>
      </c>
      <c r="L31" t="s" s="218">
        <v>125</v>
      </c>
      <c r="M31" s="219"/>
      <c r="N31" t="s" s="218">
        <v>160</v>
      </c>
      <c r="O31" s="219"/>
      <c r="P31" t="s" s="218">
        <v>161</v>
      </c>
      <c r="Q31" s="219"/>
      <c r="R31" t="s" s="218">
        <v>162</v>
      </c>
      <c r="S31" s="219"/>
      <c r="T31" t="s" s="218">
        <v>163</v>
      </c>
      <c r="U31" s="226"/>
      <c r="V31" s="11"/>
      <c r="W31" s="12"/>
    </row>
    <row r="32" ht="15.75" customHeight="1">
      <c r="A32" s="173"/>
      <c r="B32" s="223"/>
      <c r="C32" s="223"/>
      <c r="D32" s="223"/>
      <c r="E32" s="223"/>
      <c r="F32" s="223"/>
      <c r="G32" s="223"/>
      <c r="H32" s="223"/>
      <c r="I32" s="223"/>
      <c r="J32" s="223"/>
      <c r="K32" t="s" s="227">
        <v>130</v>
      </c>
      <c r="L32" s="222">
        <v>0</v>
      </c>
      <c r="M32" s="219"/>
      <c r="N32" s="222">
        <v>3.75</v>
      </c>
      <c r="O32" s="219"/>
      <c r="P32" s="222">
        <v>7.5</v>
      </c>
      <c r="Q32" s="219"/>
      <c r="R32" s="222">
        <v>11.25</v>
      </c>
      <c r="S32" s="219"/>
      <c r="T32" s="222">
        <v>15</v>
      </c>
      <c r="U32" s="226"/>
      <c r="V32" s="223"/>
      <c r="W32" s="176"/>
    </row>
  </sheetData>
  <mergeCells count="96">
    <mergeCell ref="C26:U26"/>
    <mergeCell ref="T22:U22"/>
    <mergeCell ref="D23:K23"/>
    <mergeCell ref="L23:M23"/>
    <mergeCell ref="N23:O23"/>
    <mergeCell ref="P23:Q23"/>
    <mergeCell ref="R23:S23"/>
    <mergeCell ref="T23:U23"/>
    <mergeCell ref="D22:K22"/>
    <mergeCell ref="L22:M22"/>
    <mergeCell ref="N22:O22"/>
    <mergeCell ref="P22:Q22"/>
    <mergeCell ref="R22:S22"/>
    <mergeCell ref="C25:H25"/>
    <mergeCell ref="T21:U21"/>
    <mergeCell ref="D21:K21"/>
    <mergeCell ref="L21:M21"/>
    <mergeCell ref="N21:O21"/>
    <mergeCell ref="P21:Q21"/>
    <mergeCell ref="R21:S21"/>
    <mergeCell ref="T19:U19"/>
    <mergeCell ref="D20:K20"/>
    <mergeCell ref="L20:M20"/>
    <mergeCell ref="N20:O20"/>
    <mergeCell ref="P20:Q20"/>
    <mergeCell ref="R20:S20"/>
    <mergeCell ref="T20:U20"/>
    <mergeCell ref="D19:K19"/>
    <mergeCell ref="L19:M19"/>
    <mergeCell ref="N19:O19"/>
    <mergeCell ref="P19:Q19"/>
    <mergeCell ref="R19:S19"/>
    <mergeCell ref="T17:U17"/>
    <mergeCell ref="D18:K18"/>
    <mergeCell ref="L18:M18"/>
    <mergeCell ref="N18:O18"/>
    <mergeCell ref="P18:Q18"/>
    <mergeCell ref="R18:S18"/>
    <mergeCell ref="T18:U18"/>
    <mergeCell ref="D17:K17"/>
    <mergeCell ref="L17:M17"/>
    <mergeCell ref="N17:O17"/>
    <mergeCell ref="P17:Q17"/>
    <mergeCell ref="R17:S17"/>
    <mergeCell ref="T15:U15"/>
    <mergeCell ref="D16:K16"/>
    <mergeCell ref="L16:M16"/>
    <mergeCell ref="N16:O16"/>
    <mergeCell ref="P16:Q16"/>
    <mergeCell ref="R16:S16"/>
    <mergeCell ref="T16:U16"/>
    <mergeCell ref="D15:K15"/>
    <mergeCell ref="L15:M15"/>
    <mergeCell ref="N15:O15"/>
    <mergeCell ref="P15:Q15"/>
    <mergeCell ref="R15:S15"/>
    <mergeCell ref="T12:U12"/>
    <mergeCell ref="T13:U13"/>
    <mergeCell ref="D14:K14"/>
    <mergeCell ref="L14:M14"/>
    <mergeCell ref="N14:O14"/>
    <mergeCell ref="P14:Q14"/>
    <mergeCell ref="R14:S14"/>
    <mergeCell ref="T14:U14"/>
    <mergeCell ref="D13:K13"/>
    <mergeCell ref="L13:M13"/>
    <mergeCell ref="N13:O13"/>
    <mergeCell ref="P13:Q13"/>
    <mergeCell ref="R13:S13"/>
    <mergeCell ref="L28:M28"/>
    <mergeCell ref="N28:O28"/>
    <mergeCell ref="Q28:S28"/>
    <mergeCell ref="T28:U28"/>
    <mergeCell ref="C4:U4"/>
    <mergeCell ref="Q5:S5"/>
    <mergeCell ref="T5:U5"/>
    <mergeCell ref="C6:F6"/>
    <mergeCell ref="G6:H6"/>
    <mergeCell ref="C8:U8"/>
    <mergeCell ref="C10:U10"/>
    <mergeCell ref="C12:K12"/>
    <mergeCell ref="L12:M12"/>
    <mergeCell ref="N12:O12"/>
    <mergeCell ref="P12:Q12"/>
    <mergeCell ref="R12:S12"/>
    <mergeCell ref="R32:S32"/>
    <mergeCell ref="R31:S31"/>
    <mergeCell ref="T31:U31"/>
    <mergeCell ref="T32:U32"/>
    <mergeCell ref="L30:U30"/>
    <mergeCell ref="L31:M31"/>
    <mergeCell ref="L32:M32"/>
    <mergeCell ref="N32:O32"/>
    <mergeCell ref="N31:O31"/>
    <mergeCell ref="P31:Q31"/>
    <mergeCell ref="P32:Q32"/>
  </mergeCells>
  <pageMargins left="0.59" right="0.59" top="0.629921" bottom="0.98" header="0.51" footer="0.51"/>
  <pageSetup firstPageNumber="1" fitToHeight="1" fitToWidth="1" scale="74" useFirstPageNumber="0" orientation="portrait" pageOrder="downThenOver"/>
  <drawing r:id="rId1"/>
  <legacyDrawing r:id="rId2"/>
</worksheet>
</file>

<file path=xl/worksheets/sheet5.xml><?xml version="1.0" encoding="utf-8"?>
<worksheet xmlns:r="http://schemas.openxmlformats.org/officeDocument/2006/relationships" xmlns="http://schemas.openxmlformats.org/spreadsheetml/2006/main">
  <dimension ref="A1:W34"/>
  <sheetViews>
    <sheetView workbookViewId="0" showGridLines="0" defaultGridColor="1"/>
  </sheetViews>
  <sheetFormatPr defaultColWidth="5.83333" defaultRowHeight="15.75" customHeight="1" outlineLevelRow="0" outlineLevelCol="0"/>
  <cols>
    <col min="1" max="23" width="5.85156" style="228" customWidth="1"/>
    <col min="24" max="16384" width="5.85156" style="228" customWidth="1"/>
  </cols>
  <sheetData>
    <row r="1" ht="15.75" customHeight="1">
      <c r="A1" s="7"/>
      <c r="B1" s="8"/>
      <c r="C1" s="8"/>
      <c r="D1" s="8"/>
      <c r="E1" s="8"/>
      <c r="F1" s="8"/>
      <c r="G1" s="8"/>
      <c r="H1" s="8"/>
      <c r="I1" s="8"/>
      <c r="J1" s="8"/>
      <c r="K1" s="8"/>
      <c r="L1" s="8"/>
      <c r="M1" s="8"/>
      <c r="N1" s="8"/>
      <c r="O1" s="8"/>
      <c r="P1" s="8"/>
      <c r="Q1" s="8"/>
      <c r="R1" s="8"/>
      <c r="S1" s="8"/>
      <c r="T1" s="8"/>
      <c r="U1" s="8"/>
      <c r="V1" s="8"/>
      <c r="W1" s="9"/>
    </row>
    <row r="2" ht="15.75" customHeight="1">
      <c r="A2" t="s" s="10">
        <v>6</v>
      </c>
      <c r="B2" s="11"/>
      <c r="C2" s="11"/>
      <c r="D2" s="11"/>
      <c r="E2" s="11"/>
      <c r="F2" s="11"/>
      <c r="G2" s="11"/>
      <c r="H2" s="11"/>
      <c r="I2" s="11"/>
      <c r="J2" s="11"/>
      <c r="K2" s="11"/>
      <c r="L2" s="11"/>
      <c r="M2" s="11"/>
      <c r="N2" s="11"/>
      <c r="O2" s="11"/>
      <c r="P2" s="11"/>
      <c r="Q2" s="11"/>
      <c r="R2" s="11"/>
      <c r="S2" s="11"/>
      <c r="T2" s="11"/>
      <c r="U2" s="11"/>
      <c r="V2" s="11"/>
      <c r="W2" s="12"/>
    </row>
    <row r="3" ht="15.75" customHeight="1">
      <c r="A3" s="13"/>
      <c r="B3" s="11"/>
      <c r="C3" s="14"/>
      <c r="D3" s="14"/>
      <c r="E3" s="14"/>
      <c r="F3" s="14"/>
      <c r="G3" s="14"/>
      <c r="H3" s="14"/>
      <c r="I3" s="14"/>
      <c r="J3" s="14"/>
      <c r="K3" s="14"/>
      <c r="L3" s="14"/>
      <c r="M3" s="14"/>
      <c r="N3" s="14"/>
      <c r="O3" s="14"/>
      <c r="P3" s="14"/>
      <c r="Q3" s="14"/>
      <c r="R3" s="14"/>
      <c r="S3" s="14"/>
      <c r="T3" s="14"/>
      <c r="U3" s="14"/>
      <c r="V3" s="11"/>
      <c r="W3" s="12"/>
    </row>
    <row r="4" ht="18.75" customHeight="1">
      <c r="A4" s="13"/>
      <c r="B4" s="15"/>
      <c r="C4" t="s" s="16">
        <v>7</v>
      </c>
      <c r="D4" s="17"/>
      <c r="E4" s="17"/>
      <c r="F4" s="17"/>
      <c r="G4" s="17"/>
      <c r="H4" s="17"/>
      <c r="I4" s="17"/>
      <c r="J4" s="17"/>
      <c r="K4" s="17"/>
      <c r="L4" s="17"/>
      <c r="M4" s="17"/>
      <c r="N4" s="17"/>
      <c r="O4" s="17"/>
      <c r="P4" s="17"/>
      <c r="Q4" s="17"/>
      <c r="R4" s="17"/>
      <c r="S4" s="17"/>
      <c r="T4" s="17"/>
      <c r="U4" s="18"/>
      <c r="V4" s="229"/>
      <c r="W4" s="12"/>
    </row>
    <row r="5"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9"/>
      <c r="V5" s="230"/>
      <c r="W5" s="12"/>
    </row>
    <row r="6" ht="18" customHeight="1">
      <c r="A6" s="20"/>
      <c r="B6" s="21"/>
      <c r="C6" t="s" s="30">
        <v>11</v>
      </c>
      <c r="D6" s="31"/>
      <c r="E6" s="31"/>
      <c r="F6" s="31"/>
      <c r="G6" s="32">
        <f>'Kap. 1, 2, 3'!G6:H6</f>
      </c>
      <c r="H6" s="32"/>
      <c r="I6" s="33"/>
      <c r="J6" s="33"/>
      <c r="K6" s="33"/>
      <c r="L6" s="33"/>
      <c r="M6" s="33"/>
      <c r="N6" s="33"/>
      <c r="O6" s="33"/>
      <c r="P6" s="33"/>
      <c r="Q6" s="33"/>
      <c r="R6" s="33"/>
      <c r="S6" s="33"/>
      <c r="T6" s="33"/>
      <c r="U6" s="34"/>
      <c r="V6" s="230"/>
      <c r="W6" s="12"/>
    </row>
    <row r="7" ht="15.75" customHeight="1">
      <c r="A7" s="13"/>
      <c r="B7" s="11"/>
      <c r="C7" s="35"/>
      <c r="D7" s="35"/>
      <c r="E7" s="35"/>
      <c r="F7" s="35"/>
      <c r="G7" s="35"/>
      <c r="H7" s="35"/>
      <c r="I7" s="35"/>
      <c r="J7" s="35"/>
      <c r="K7" s="35"/>
      <c r="L7" s="35"/>
      <c r="M7" s="35"/>
      <c r="N7" s="35"/>
      <c r="O7" s="35"/>
      <c r="P7" s="35"/>
      <c r="Q7" s="35"/>
      <c r="R7" s="35"/>
      <c r="S7" s="35"/>
      <c r="T7" s="35"/>
      <c r="U7" s="35"/>
      <c r="V7" s="11"/>
      <c r="W7" s="12"/>
    </row>
    <row r="8" ht="21" customHeight="1">
      <c r="A8" s="13"/>
      <c r="B8" s="11"/>
      <c r="C8" t="s" s="38">
        <v>105</v>
      </c>
      <c r="D8" s="39"/>
      <c r="E8" s="39"/>
      <c r="F8" s="39"/>
      <c r="G8" s="39"/>
      <c r="H8" s="39"/>
      <c r="I8" s="39"/>
      <c r="J8" s="39"/>
      <c r="K8" s="39"/>
      <c r="L8" s="39"/>
      <c r="M8" s="39"/>
      <c r="N8" s="39"/>
      <c r="O8" s="39"/>
      <c r="P8" s="39"/>
      <c r="Q8" s="39"/>
      <c r="R8" s="39"/>
      <c r="S8" s="39"/>
      <c r="T8" s="39"/>
      <c r="U8" s="39"/>
      <c r="V8" s="11"/>
      <c r="W8" s="12"/>
    </row>
    <row r="9" ht="15.75" customHeight="1">
      <c r="A9" s="13"/>
      <c r="B9" s="11"/>
      <c r="C9" s="14"/>
      <c r="D9" s="14"/>
      <c r="E9" s="14"/>
      <c r="F9" s="14"/>
      <c r="G9" s="14"/>
      <c r="H9" s="14"/>
      <c r="I9" s="14"/>
      <c r="J9" s="14"/>
      <c r="K9" s="14"/>
      <c r="L9" s="14"/>
      <c r="M9" s="14"/>
      <c r="N9" s="14"/>
      <c r="O9" s="14"/>
      <c r="P9" s="14"/>
      <c r="Q9" s="14"/>
      <c r="R9" s="14"/>
      <c r="S9" s="14"/>
      <c r="T9" s="14"/>
      <c r="U9" s="14"/>
      <c r="V9" s="11"/>
      <c r="W9" s="12"/>
    </row>
    <row r="10" ht="18.75" customHeight="1">
      <c r="A10" s="13"/>
      <c r="B10" s="15"/>
      <c r="C10" t="s" s="180">
        <v>165</v>
      </c>
      <c r="D10" s="181"/>
      <c r="E10" s="181"/>
      <c r="F10" s="181"/>
      <c r="G10" s="181"/>
      <c r="H10" s="181"/>
      <c r="I10" s="181"/>
      <c r="J10" s="181"/>
      <c r="K10" s="181"/>
      <c r="L10" s="181"/>
      <c r="M10" s="181"/>
      <c r="N10" s="181"/>
      <c r="O10" s="181"/>
      <c r="P10" s="181"/>
      <c r="Q10" s="181"/>
      <c r="R10" s="181"/>
      <c r="S10" s="181"/>
      <c r="T10" s="181"/>
      <c r="U10" s="231"/>
      <c r="V10" s="19"/>
      <c r="W10" s="12"/>
    </row>
    <row r="11" ht="15.75" customHeight="1">
      <c r="A11" s="13"/>
      <c r="B11" s="11"/>
      <c r="C11" s="182"/>
      <c r="D11" s="182"/>
      <c r="E11" s="182"/>
      <c r="F11" s="182"/>
      <c r="G11" s="182"/>
      <c r="H11" s="182"/>
      <c r="I11" s="182"/>
      <c r="J11" s="182"/>
      <c r="K11" s="182"/>
      <c r="L11" s="182"/>
      <c r="M11" s="182"/>
      <c r="N11" s="182"/>
      <c r="O11" s="182"/>
      <c r="P11" s="182"/>
      <c r="Q11" s="182"/>
      <c r="R11" s="182"/>
      <c r="S11" s="182"/>
      <c r="T11" s="182"/>
      <c r="U11" s="182"/>
      <c r="V11" s="11"/>
      <c r="W11" s="12"/>
    </row>
    <row r="12" ht="90" customHeight="1">
      <c r="A12" s="13"/>
      <c r="B12" s="15"/>
      <c r="C12" t="s" s="183">
        <v>107</v>
      </c>
      <c r="D12" s="184"/>
      <c r="E12" s="184"/>
      <c r="F12" s="184"/>
      <c r="G12" s="184"/>
      <c r="H12" s="184"/>
      <c r="I12" s="184"/>
      <c r="J12" s="184"/>
      <c r="K12" s="185"/>
      <c r="L12" t="s" s="186">
        <v>166</v>
      </c>
      <c r="M12" s="187"/>
      <c r="N12" t="s" s="188">
        <v>167</v>
      </c>
      <c r="O12" s="189"/>
      <c r="P12" t="s" s="190">
        <v>168</v>
      </c>
      <c r="Q12" s="191"/>
      <c r="R12" t="s" s="192">
        <v>169</v>
      </c>
      <c r="S12" s="193"/>
      <c r="T12" t="s" s="194">
        <v>112</v>
      </c>
      <c r="U12" s="232"/>
      <c r="V12" s="19"/>
      <c r="W12" s="12"/>
    </row>
    <row r="13" ht="25.5" customHeight="1">
      <c r="A13" t="s" s="95">
        <v>170</v>
      </c>
      <c r="B13" s="196">
        <v>1</v>
      </c>
      <c r="C13" t="s" s="197">
        <f>CONCATENATE(A13,B13)</f>
        <v>171</v>
      </c>
      <c r="D13" t="s" s="198">
        <v>172</v>
      </c>
      <c r="E13" s="199"/>
      <c r="F13" s="199"/>
      <c r="G13" s="199"/>
      <c r="H13" s="199"/>
      <c r="I13" s="199"/>
      <c r="J13" s="199"/>
      <c r="K13" s="200"/>
      <c r="L13" s="201"/>
      <c r="M13" s="202"/>
      <c r="N13" s="201"/>
      <c r="O13" s="202"/>
      <c r="P13" s="201"/>
      <c r="Q13" s="202"/>
      <c r="R13" s="201"/>
      <c r="S13" s="202"/>
      <c r="T13" s="203">
        <f>IF(V13&lt;=1,0,IF(V13=2,1,IF(V13=3,3,IF(V13=4,5))))</f>
        <v>0</v>
      </c>
      <c r="U13" s="221"/>
      <c r="V13" s="233">
        <v>0</v>
      </c>
      <c r="W13" s="12"/>
    </row>
    <row r="14" ht="25.5" customHeight="1">
      <c r="A14" t="s" s="95">
        <v>170</v>
      </c>
      <c r="B14" s="196">
        <v>2</v>
      </c>
      <c r="C14" t="s" s="197">
        <f>CONCATENATE(A14,B14)</f>
        <v>173</v>
      </c>
      <c r="D14" t="s" s="198">
        <v>174</v>
      </c>
      <c r="E14" s="199"/>
      <c r="F14" s="199"/>
      <c r="G14" s="199"/>
      <c r="H14" s="199"/>
      <c r="I14" s="199"/>
      <c r="J14" s="199"/>
      <c r="K14" s="200"/>
      <c r="L14" s="201"/>
      <c r="M14" s="202"/>
      <c r="N14" s="201"/>
      <c r="O14" s="202"/>
      <c r="P14" s="201"/>
      <c r="Q14" s="202"/>
      <c r="R14" s="201"/>
      <c r="S14" s="202"/>
      <c r="T14" s="203">
        <f>IF(V14&lt;=1,0,IF(V14=2,1,IF(V14=3,3,IF(V14=4,5))))</f>
        <v>0</v>
      </c>
      <c r="U14" s="221"/>
      <c r="V14" s="233">
        <v>0</v>
      </c>
      <c r="W14" s="12"/>
    </row>
    <row r="15" ht="25.5" customHeight="1">
      <c r="A15" t="s" s="95">
        <v>170</v>
      </c>
      <c r="B15" s="196">
        <v>3</v>
      </c>
      <c r="C15" t="s" s="197">
        <f>CONCATENATE(A15,B15)</f>
        <v>175</v>
      </c>
      <c r="D15" t="s" s="198">
        <v>176</v>
      </c>
      <c r="E15" s="199"/>
      <c r="F15" s="199"/>
      <c r="G15" s="199"/>
      <c r="H15" s="199"/>
      <c r="I15" s="199"/>
      <c r="J15" s="199"/>
      <c r="K15" s="200"/>
      <c r="L15" s="201"/>
      <c r="M15" s="202"/>
      <c r="N15" s="201"/>
      <c r="O15" s="202"/>
      <c r="P15" s="201"/>
      <c r="Q15" s="202"/>
      <c r="R15" s="201"/>
      <c r="S15" s="202"/>
      <c r="T15" s="203">
        <f>IF(V15&lt;=1,0,IF(V15=2,1,IF(V15=3,3,IF(V15=4,5))))</f>
        <v>0</v>
      </c>
      <c r="U15" s="221"/>
      <c r="V15" s="233">
        <v>0</v>
      </c>
      <c r="W15" s="12"/>
    </row>
    <row r="16" ht="25.5" customHeight="1">
      <c r="A16" t="s" s="95">
        <v>170</v>
      </c>
      <c r="B16" s="196">
        <v>4</v>
      </c>
      <c r="C16" t="s" s="197">
        <f>CONCATENATE(A16,B16)</f>
        <v>177</v>
      </c>
      <c r="D16" t="s" s="198">
        <v>178</v>
      </c>
      <c r="E16" s="199"/>
      <c r="F16" s="199"/>
      <c r="G16" s="199"/>
      <c r="H16" s="199"/>
      <c r="I16" s="199"/>
      <c r="J16" s="199"/>
      <c r="K16" s="200"/>
      <c r="L16" s="201"/>
      <c r="M16" s="202"/>
      <c r="N16" s="201"/>
      <c r="O16" s="202"/>
      <c r="P16" s="201"/>
      <c r="Q16" s="202"/>
      <c r="R16" s="201"/>
      <c r="S16" s="202"/>
      <c r="T16" s="203">
        <f>IF(V16&lt;=1,0,IF(V16=2,1,IF(V16=3,3,IF(V16=4,5))))</f>
        <v>0</v>
      </c>
      <c r="U16" s="221"/>
      <c r="V16" s="233">
        <v>0</v>
      </c>
      <c r="W16" s="12"/>
    </row>
    <row r="17" ht="33.95" customHeight="1">
      <c r="A17" t="s" s="95">
        <v>170</v>
      </c>
      <c r="B17" s="196">
        <v>5</v>
      </c>
      <c r="C17" t="s" s="197">
        <f>CONCATENATE(A17,B17)</f>
        <v>179</v>
      </c>
      <c r="D17" t="s" s="198">
        <v>180</v>
      </c>
      <c r="E17" s="199"/>
      <c r="F17" s="199"/>
      <c r="G17" s="199"/>
      <c r="H17" s="199"/>
      <c r="I17" s="199"/>
      <c r="J17" s="199"/>
      <c r="K17" s="200"/>
      <c r="L17" s="201"/>
      <c r="M17" s="202"/>
      <c r="N17" s="201"/>
      <c r="O17" s="202"/>
      <c r="P17" s="201"/>
      <c r="Q17" s="202"/>
      <c r="R17" s="201"/>
      <c r="S17" s="202"/>
      <c r="T17" s="203">
        <f>IF(V17&lt;=1,0,IF(V17=2,1,IF(V17=3,3,IF(V17=4,5))))</f>
        <v>0</v>
      </c>
      <c r="U17" s="221"/>
      <c r="V17" s="233">
        <v>0</v>
      </c>
      <c r="W17" s="12"/>
    </row>
    <row r="18" ht="25.5" customHeight="1">
      <c r="A18" t="s" s="95">
        <v>170</v>
      </c>
      <c r="B18" s="196">
        <v>6</v>
      </c>
      <c r="C18" t="s" s="197">
        <f>CONCATENATE(A18,B18)</f>
        <v>181</v>
      </c>
      <c r="D18" t="s" s="198">
        <v>182</v>
      </c>
      <c r="E18" s="199"/>
      <c r="F18" s="199"/>
      <c r="G18" s="199"/>
      <c r="H18" s="199"/>
      <c r="I18" s="199"/>
      <c r="J18" s="199"/>
      <c r="K18" s="200"/>
      <c r="L18" s="201"/>
      <c r="M18" s="202"/>
      <c r="N18" s="201"/>
      <c r="O18" s="202"/>
      <c r="P18" s="201"/>
      <c r="Q18" s="202"/>
      <c r="R18" s="201"/>
      <c r="S18" s="202"/>
      <c r="T18" s="203">
        <f>IF(V18&lt;=1,0,IF(V18=2,1,IF(V18=3,3,IF(V18=4,5))))</f>
        <v>0</v>
      </c>
      <c r="U18" s="221"/>
      <c r="V18" s="233">
        <v>0</v>
      </c>
      <c r="W18" s="12"/>
    </row>
    <row r="19" ht="25.5" customHeight="1">
      <c r="A19" t="s" s="95">
        <v>170</v>
      </c>
      <c r="B19" s="196">
        <v>7</v>
      </c>
      <c r="C19" t="s" s="197">
        <f>CONCATENATE(A19,B19)</f>
        <v>183</v>
      </c>
      <c r="D19" t="s" s="198">
        <v>184</v>
      </c>
      <c r="E19" s="199"/>
      <c r="F19" s="199"/>
      <c r="G19" s="199"/>
      <c r="H19" s="199"/>
      <c r="I19" s="199"/>
      <c r="J19" s="199"/>
      <c r="K19" s="200"/>
      <c r="L19" s="201"/>
      <c r="M19" s="202"/>
      <c r="N19" s="201"/>
      <c r="O19" s="202"/>
      <c r="P19" s="201"/>
      <c r="Q19" s="202"/>
      <c r="R19" s="201"/>
      <c r="S19" s="202"/>
      <c r="T19" s="203">
        <f>IF(V19&lt;=1,0,IF(V19=2,1,IF(V19=3,3,IF(V19=4,5))))</f>
        <v>0</v>
      </c>
      <c r="U19" s="221"/>
      <c r="V19" s="233">
        <v>0</v>
      </c>
      <c r="W19" s="12"/>
    </row>
    <row r="20" ht="33.95" customHeight="1">
      <c r="A20" t="s" s="95">
        <v>170</v>
      </c>
      <c r="B20" s="196">
        <v>8</v>
      </c>
      <c r="C20" t="s" s="197">
        <f>CONCATENATE(A20,B20)</f>
        <v>185</v>
      </c>
      <c r="D20" t="s" s="198">
        <v>186</v>
      </c>
      <c r="E20" s="199"/>
      <c r="F20" s="199"/>
      <c r="G20" s="199"/>
      <c r="H20" s="199"/>
      <c r="I20" s="199"/>
      <c r="J20" s="199"/>
      <c r="K20" s="200"/>
      <c r="L20" s="201"/>
      <c r="M20" s="202"/>
      <c r="N20" s="201"/>
      <c r="O20" s="202"/>
      <c r="P20" s="201"/>
      <c r="Q20" s="202"/>
      <c r="R20" s="201"/>
      <c r="S20" s="202"/>
      <c r="T20" s="203">
        <f>IF(V20&lt;=1,0,IF(V20=2,1,IF(V20=3,3,IF(V20=4,5))))</f>
        <v>0</v>
      </c>
      <c r="U20" s="221"/>
      <c r="V20" s="233">
        <v>0</v>
      </c>
      <c r="W20" s="12"/>
    </row>
    <row r="21" ht="25.5" customHeight="1">
      <c r="A21" t="s" s="95">
        <v>170</v>
      </c>
      <c r="B21" s="196">
        <v>9</v>
      </c>
      <c r="C21" t="s" s="197">
        <f>CONCATENATE(A21,B21)</f>
        <v>187</v>
      </c>
      <c r="D21" t="s" s="198">
        <v>188</v>
      </c>
      <c r="E21" s="199"/>
      <c r="F21" s="199"/>
      <c r="G21" s="199"/>
      <c r="H21" s="199"/>
      <c r="I21" s="199"/>
      <c r="J21" s="199"/>
      <c r="K21" s="200"/>
      <c r="L21" s="201"/>
      <c r="M21" s="202"/>
      <c r="N21" s="201"/>
      <c r="O21" s="202"/>
      <c r="P21" s="201"/>
      <c r="Q21" s="202"/>
      <c r="R21" s="201"/>
      <c r="S21" s="202"/>
      <c r="T21" s="203">
        <f>IF(V21&lt;=1,0,IF(V21=2,1,IF(V21=3,3,IF(V21=4,5))))</f>
        <v>0</v>
      </c>
      <c r="U21" s="221"/>
      <c r="V21" s="233">
        <v>0</v>
      </c>
      <c r="W21" s="12"/>
    </row>
    <row r="22" ht="25.5" customHeight="1">
      <c r="A22" t="s" s="95">
        <v>170</v>
      </c>
      <c r="B22" s="196">
        <v>10</v>
      </c>
      <c r="C22" t="s" s="197">
        <f>CONCATENATE(A22,B22)</f>
        <v>189</v>
      </c>
      <c r="D22" t="s" s="198">
        <v>190</v>
      </c>
      <c r="E22" s="199"/>
      <c r="F22" s="199"/>
      <c r="G22" s="199"/>
      <c r="H22" s="199"/>
      <c r="I22" s="199"/>
      <c r="J22" s="199"/>
      <c r="K22" s="200"/>
      <c r="L22" s="201"/>
      <c r="M22" s="202"/>
      <c r="N22" s="201"/>
      <c r="O22" s="202"/>
      <c r="P22" s="201"/>
      <c r="Q22" s="202"/>
      <c r="R22" s="201"/>
      <c r="S22" s="202"/>
      <c r="T22" s="203">
        <f>IF(V22&lt;=1,0,IF(V22=2,1,IF(V22=3,3,IF(V22=4,5))))</f>
        <v>0</v>
      </c>
      <c r="U22" s="221"/>
      <c r="V22" s="233">
        <v>0</v>
      </c>
      <c r="W22" s="12"/>
    </row>
    <row r="23" ht="25.5" customHeight="1">
      <c r="A23" t="s" s="95">
        <v>170</v>
      </c>
      <c r="B23" s="196">
        <v>11</v>
      </c>
      <c r="C23" t="s" s="197">
        <f>CONCATENATE(A23,B23)</f>
        <v>191</v>
      </c>
      <c r="D23" t="s" s="198">
        <v>192</v>
      </c>
      <c r="E23" s="199"/>
      <c r="F23" s="199"/>
      <c r="G23" s="199"/>
      <c r="H23" s="199"/>
      <c r="I23" s="199"/>
      <c r="J23" s="199"/>
      <c r="K23" s="200"/>
      <c r="L23" s="201"/>
      <c r="M23" s="202"/>
      <c r="N23" s="201"/>
      <c r="O23" s="202"/>
      <c r="P23" s="201"/>
      <c r="Q23" s="202"/>
      <c r="R23" s="201"/>
      <c r="S23" s="202"/>
      <c r="T23" s="203">
        <f>IF(V23&lt;=1,0,IF(V23=2,1,IF(V23=3,3,IF(V23=4,5))))</f>
        <v>0</v>
      </c>
      <c r="U23" s="221"/>
      <c r="V23" s="233">
        <v>0</v>
      </c>
      <c r="W23" s="12"/>
    </row>
    <row r="24" ht="25.5" customHeight="1">
      <c r="A24" t="s" s="95">
        <v>170</v>
      </c>
      <c r="B24" s="196">
        <v>12</v>
      </c>
      <c r="C24" t="s" s="197">
        <f>CONCATENATE(A24,B24)</f>
        <v>193</v>
      </c>
      <c r="D24" t="s" s="198">
        <v>194</v>
      </c>
      <c r="E24" s="199"/>
      <c r="F24" s="199"/>
      <c r="G24" s="199"/>
      <c r="H24" s="199"/>
      <c r="I24" s="199"/>
      <c r="J24" s="199"/>
      <c r="K24" s="200"/>
      <c r="L24" s="201"/>
      <c r="M24" s="202"/>
      <c r="N24" s="201"/>
      <c r="O24" s="202"/>
      <c r="P24" s="201"/>
      <c r="Q24" s="202"/>
      <c r="R24" s="201"/>
      <c r="S24" s="202"/>
      <c r="T24" s="203">
        <f>IF(V24&lt;=1,0,IF(V24=2,1,IF(V24=3,3,IF(V24=4,5))))</f>
        <v>0</v>
      </c>
      <c r="U24" s="221"/>
      <c r="V24" s="233">
        <v>0</v>
      </c>
      <c r="W24" s="12"/>
    </row>
    <row r="25" ht="25.5" customHeight="1">
      <c r="A25" t="s" s="95">
        <v>170</v>
      </c>
      <c r="B25" s="196">
        <v>13</v>
      </c>
      <c r="C25" t="s" s="197">
        <f>CONCATENATE(A25,B25)</f>
        <v>195</v>
      </c>
      <c r="D25" t="s" s="198">
        <v>196</v>
      </c>
      <c r="E25" s="199"/>
      <c r="F25" s="199"/>
      <c r="G25" s="199"/>
      <c r="H25" s="199"/>
      <c r="I25" s="199"/>
      <c r="J25" s="199"/>
      <c r="K25" s="200"/>
      <c r="L25" s="201"/>
      <c r="M25" s="202"/>
      <c r="N25" s="201"/>
      <c r="O25" s="202"/>
      <c r="P25" s="201"/>
      <c r="Q25" s="202"/>
      <c r="R25" s="201"/>
      <c r="S25" s="202"/>
      <c r="T25" s="203">
        <f>IF(V25&lt;=1,0,IF(V25=2,1,IF(V25=3,3,IF(V25=4,5))))</f>
        <v>0</v>
      </c>
      <c r="U25" s="221"/>
      <c r="V25" s="233">
        <v>0</v>
      </c>
      <c r="W25" s="12"/>
    </row>
    <row r="26" ht="15.75" customHeight="1">
      <c r="A26" s="13"/>
      <c r="B26" s="11"/>
      <c r="C26" s="35"/>
      <c r="D26" s="35"/>
      <c r="E26" s="35"/>
      <c r="F26" s="35"/>
      <c r="G26" s="35"/>
      <c r="H26" s="35"/>
      <c r="I26" s="35"/>
      <c r="J26" s="35"/>
      <c r="K26" s="35"/>
      <c r="L26" s="35"/>
      <c r="M26" s="35"/>
      <c r="N26" s="35"/>
      <c r="O26" s="35"/>
      <c r="P26" s="35"/>
      <c r="Q26" s="35"/>
      <c r="R26" s="35"/>
      <c r="S26" s="35"/>
      <c r="T26" s="35"/>
      <c r="U26" s="35"/>
      <c r="V26" s="11"/>
      <c r="W26" s="12"/>
    </row>
    <row r="27" ht="15.75" customHeight="1">
      <c r="A27" s="13"/>
      <c r="B27" s="11"/>
      <c r="C27" t="s" s="102">
        <v>119</v>
      </c>
      <c r="D27" s="103"/>
      <c r="E27" s="103"/>
      <c r="F27" s="103"/>
      <c r="G27" s="103"/>
      <c r="H27" s="103"/>
      <c r="I27" s="40"/>
      <c r="J27" s="40"/>
      <c r="K27" s="40"/>
      <c r="L27" s="40"/>
      <c r="M27" s="40"/>
      <c r="N27" s="40"/>
      <c r="O27" s="40"/>
      <c r="P27" s="40"/>
      <c r="Q27" s="40"/>
      <c r="R27" s="40"/>
      <c r="S27" s="40"/>
      <c r="T27" s="40"/>
      <c r="U27" s="40"/>
      <c r="V27" s="11"/>
      <c r="W27" s="12"/>
    </row>
    <row r="28" ht="90" customHeight="1">
      <c r="A28" s="13"/>
      <c r="B28" s="50"/>
      <c r="C28" s="85"/>
      <c r="D28" s="86"/>
      <c r="E28" s="86"/>
      <c r="F28" s="86"/>
      <c r="G28" s="86"/>
      <c r="H28" s="86"/>
      <c r="I28" s="86"/>
      <c r="J28" s="86"/>
      <c r="K28" s="86"/>
      <c r="L28" s="86"/>
      <c r="M28" s="86"/>
      <c r="N28" s="86"/>
      <c r="O28" s="86"/>
      <c r="P28" s="86"/>
      <c r="Q28" s="86"/>
      <c r="R28" s="86"/>
      <c r="S28" s="86"/>
      <c r="T28" s="86"/>
      <c r="U28" s="87"/>
      <c r="V28" s="47"/>
      <c r="W28" s="12"/>
    </row>
    <row r="29" ht="15.75" customHeight="1">
      <c r="A29" s="13"/>
      <c r="B29" s="11"/>
      <c r="C29" s="48"/>
      <c r="D29" s="48"/>
      <c r="E29" s="48"/>
      <c r="F29" s="48"/>
      <c r="G29" s="48"/>
      <c r="H29" s="48"/>
      <c r="I29" s="48"/>
      <c r="J29" s="48"/>
      <c r="K29" s="48"/>
      <c r="L29" s="48"/>
      <c r="M29" s="48"/>
      <c r="N29" s="207"/>
      <c r="O29" s="207"/>
      <c r="P29" s="48"/>
      <c r="Q29" s="48"/>
      <c r="R29" s="48"/>
      <c r="S29" s="48"/>
      <c r="T29" s="207"/>
      <c r="U29" s="207"/>
      <c r="V29" s="11"/>
      <c r="W29" s="12"/>
    </row>
    <row r="30" ht="15.75" customHeight="1">
      <c r="A30" s="13"/>
      <c r="B30" s="11"/>
      <c r="C30" s="11"/>
      <c r="D30" s="11"/>
      <c r="E30" s="11"/>
      <c r="F30" s="11"/>
      <c r="G30" s="11"/>
      <c r="H30" s="11"/>
      <c r="I30" s="11"/>
      <c r="J30" s="11"/>
      <c r="K30" s="11"/>
      <c r="L30" t="s" s="208">
        <v>122</v>
      </c>
      <c r="M30" s="209"/>
      <c r="N30" s="210">
        <f>SUM(T13:U25)</f>
        <v>0</v>
      </c>
      <c r="O30" s="211"/>
      <c r="P30" s="19"/>
      <c r="Q30" t="s" s="208">
        <v>123</v>
      </c>
      <c r="R30" s="212"/>
      <c r="S30" s="209"/>
      <c r="T30" s="210">
        <f>IF($N$30&lt;=0,0,IF($N$30&lt;3,3.75,IF($N$30&lt;5,7.5,IF($N$30&lt;7,11.25,IF($N$30&lt;=65,15,"Fehler")))))</f>
        <v>0</v>
      </c>
      <c r="U30" s="211"/>
      <c r="V30" s="19"/>
      <c r="W30" s="12"/>
    </row>
    <row r="31" ht="15.75" customHeight="1">
      <c r="A31" s="13"/>
      <c r="B31" s="11"/>
      <c r="C31" s="11"/>
      <c r="D31" s="11"/>
      <c r="E31" s="11"/>
      <c r="F31" s="11"/>
      <c r="G31" s="11"/>
      <c r="H31" s="11"/>
      <c r="I31" s="11"/>
      <c r="J31" s="11"/>
      <c r="K31" s="11"/>
      <c r="L31" s="14"/>
      <c r="M31" s="14"/>
      <c r="N31" s="182"/>
      <c r="O31" s="182"/>
      <c r="P31" s="14"/>
      <c r="Q31" s="14"/>
      <c r="R31" s="14"/>
      <c r="S31" s="14"/>
      <c r="T31" s="182"/>
      <c r="U31" s="182"/>
      <c r="V31" s="11"/>
      <c r="W31" s="12"/>
    </row>
    <row r="32" ht="18.75" customHeight="1">
      <c r="A32" s="13"/>
      <c r="B32" s="11"/>
      <c r="C32" s="11"/>
      <c r="D32" s="11"/>
      <c r="E32" s="11"/>
      <c r="F32" s="11"/>
      <c r="G32" s="11"/>
      <c r="H32" s="11"/>
      <c r="I32" s="11"/>
      <c r="J32" s="11"/>
      <c r="K32" s="15"/>
      <c r="L32" t="s" s="234">
        <v>124</v>
      </c>
      <c r="M32" s="235"/>
      <c r="N32" s="235"/>
      <c r="O32" s="235"/>
      <c r="P32" s="235"/>
      <c r="Q32" s="235"/>
      <c r="R32" s="235"/>
      <c r="S32" s="235"/>
      <c r="T32" s="235"/>
      <c r="U32" s="235"/>
      <c r="V32" s="19"/>
      <c r="W32" s="12"/>
    </row>
    <row r="33" ht="15.75" customHeight="1">
      <c r="A33" s="13"/>
      <c r="B33" s="11"/>
      <c r="C33" s="11"/>
      <c r="D33" s="11"/>
      <c r="E33" s="11"/>
      <c r="F33" s="11"/>
      <c r="G33" s="11"/>
      <c r="H33" s="11"/>
      <c r="I33" s="11"/>
      <c r="J33" s="11"/>
      <c r="K33" t="s" s="217">
        <v>122</v>
      </c>
      <c r="L33" s="222">
        <v>0</v>
      </c>
      <c r="M33" s="219"/>
      <c r="N33" t="s" s="218">
        <v>197</v>
      </c>
      <c r="O33" s="219"/>
      <c r="P33" t="s" s="218">
        <v>198</v>
      </c>
      <c r="Q33" s="219"/>
      <c r="R33" t="s" s="218">
        <v>199</v>
      </c>
      <c r="S33" s="219"/>
      <c r="T33" t="s" s="218">
        <v>200</v>
      </c>
      <c r="U33" s="219"/>
      <c r="V33" s="19"/>
      <c r="W33" s="12"/>
    </row>
    <row r="34" ht="15.75" customHeight="1">
      <c r="A34" s="173"/>
      <c r="B34" s="223"/>
      <c r="C34" s="223"/>
      <c r="D34" s="223"/>
      <c r="E34" s="223"/>
      <c r="F34" s="223"/>
      <c r="G34" s="223"/>
      <c r="H34" s="223"/>
      <c r="I34" s="223"/>
      <c r="J34" s="223"/>
      <c r="K34" t="s" s="227">
        <v>130</v>
      </c>
      <c r="L34" s="222">
        <v>0</v>
      </c>
      <c r="M34" s="219"/>
      <c r="N34" s="222">
        <v>3.75</v>
      </c>
      <c r="O34" s="219"/>
      <c r="P34" s="222">
        <v>7.5</v>
      </c>
      <c r="Q34" s="219"/>
      <c r="R34" s="222">
        <v>11.25</v>
      </c>
      <c r="S34" s="219"/>
      <c r="T34" s="222">
        <v>15</v>
      </c>
      <c r="U34" s="219"/>
      <c r="V34" s="236"/>
      <c r="W34" s="176"/>
    </row>
  </sheetData>
  <mergeCells count="108">
    <mergeCell ref="C28:U28"/>
    <mergeCell ref="D25:K25"/>
    <mergeCell ref="L25:M25"/>
    <mergeCell ref="N25:O25"/>
    <mergeCell ref="P25:Q25"/>
    <mergeCell ref="R25:S25"/>
    <mergeCell ref="T25:U25"/>
    <mergeCell ref="T24:U24"/>
    <mergeCell ref="D23:K23"/>
    <mergeCell ref="L23:M23"/>
    <mergeCell ref="N23:O23"/>
    <mergeCell ref="P23:Q23"/>
    <mergeCell ref="R23:S23"/>
    <mergeCell ref="T23:U23"/>
    <mergeCell ref="D24:K24"/>
    <mergeCell ref="L24:M24"/>
    <mergeCell ref="N24:O24"/>
    <mergeCell ref="P24:Q24"/>
    <mergeCell ref="R24:S24"/>
    <mergeCell ref="C27:H27"/>
    <mergeCell ref="T22:U22"/>
    <mergeCell ref="D21:K21"/>
    <mergeCell ref="L21:M21"/>
    <mergeCell ref="N21:O21"/>
    <mergeCell ref="P21:Q21"/>
    <mergeCell ref="R21:S21"/>
    <mergeCell ref="T21:U21"/>
    <mergeCell ref="D22:K22"/>
    <mergeCell ref="L22:M22"/>
    <mergeCell ref="N22:O22"/>
    <mergeCell ref="P22:Q22"/>
    <mergeCell ref="R22:S22"/>
    <mergeCell ref="T20:U20"/>
    <mergeCell ref="D19:K19"/>
    <mergeCell ref="L19:M19"/>
    <mergeCell ref="N19:O19"/>
    <mergeCell ref="P19:Q19"/>
    <mergeCell ref="R19:S19"/>
    <mergeCell ref="T19:U19"/>
    <mergeCell ref="D20:K20"/>
    <mergeCell ref="L20:M20"/>
    <mergeCell ref="N20:O20"/>
    <mergeCell ref="P20:Q20"/>
    <mergeCell ref="R20:S20"/>
    <mergeCell ref="N16:O16"/>
    <mergeCell ref="P16:Q16"/>
    <mergeCell ref="R16:S16"/>
    <mergeCell ref="T18:U18"/>
    <mergeCell ref="D17:K17"/>
    <mergeCell ref="L17:M17"/>
    <mergeCell ref="N17:O17"/>
    <mergeCell ref="P17:Q17"/>
    <mergeCell ref="R17:S17"/>
    <mergeCell ref="T17:U17"/>
    <mergeCell ref="D18:K18"/>
    <mergeCell ref="L18:M18"/>
    <mergeCell ref="N18:O18"/>
    <mergeCell ref="P18:Q18"/>
    <mergeCell ref="R18:S18"/>
    <mergeCell ref="C4:U4"/>
    <mergeCell ref="Q5:S5"/>
    <mergeCell ref="T5:U5"/>
    <mergeCell ref="C6:F6"/>
    <mergeCell ref="G6:H6"/>
    <mergeCell ref="P13:Q13"/>
    <mergeCell ref="R13:S13"/>
    <mergeCell ref="T13:U13"/>
    <mergeCell ref="D14:K14"/>
    <mergeCell ref="L14:M14"/>
    <mergeCell ref="N14:O14"/>
    <mergeCell ref="P14:Q14"/>
    <mergeCell ref="R14:S14"/>
    <mergeCell ref="C8:U8"/>
    <mergeCell ref="L30:M30"/>
    <mergeCell ref="N30:O30"/>
    <mergeCell ref="Q30:S30"/>
    <mergeCell ref="T30:U30"/>
    <mergeCell ref="C10:U10"/>
    <mergeCell ref="C12:K12"/>
    <mergeCell ref="L12:M12"/>
    <mergeCell ref="N12:O12"/>
    <mergeCell ref="P12:Q12"/>
    <mergeCell ref="R12:S12"/>
    <mergeCell ref="T12:U12"/>
    <mergeCell ref="T14:U14"/>
    <mergeCell ref="D13:K13"/>
    <mergeCell ref="L13:M13"/>
    <mergeCell ref="N13:O13"/>
    <mergeCell ref="T16:U16"/>
    <mergeCell ref="D15:K15"/>
    <mergeCell ref="L15:M15"/>
    <mergeCell ref="N15:O15"/>
    <mergeCell ref="P15:Q15"/>
    <mergeCell ref="R15:S15"/>
    <mergeCell ref="T15:U15"/>
    <mergeCell ref="D16:K16"/>
    <mergeCell ref="L16:M16"/>
    <mergeCell ref="L32:U32"/>
    <mergeCell ref="L33:M33"/>
    <mergeCell ref="L34:M34"/>
    <mergeCell ref="N34:O34"/>
    <mergeCell ref="N33:O33"/>
    <mergeCell ref="T33:U33"/>
    <mergeCell ref="T34:U34"/>
    <mergeCell ref="R34:S34"/>
    <mergeCell ref="R33:S33"/>
    <mergeCell ref="P33:Q33"/>
    <mergeCell ref="P34:Q34"/>
  </mergeCells>
  <pageMargins left="0.59" right="0.59" top="0.629921" bottom="0.98" header="0.51" footer="0.51"/>
  <pageSetup firstPageNumber="1" fitToHeight="1" fitToWidth="1" scale="74" useFirstPageNumber="0" orientation="portrait" pageOrder="downThenOver"/>
  <drawing r:id="rId1"/>
  <legacyDrawing r:id="rId2"/>
</worksheet>
</file>

<file path=xl/worksheets/sheet6.xml><?xml version="1.0" encoding="utf-8"?>
<worksheet xmlns:r="http://schemas.openxmlformats.org/officeDocument/2006/relationships" xmlns="http://schemas.openxmlformats.org/spreadsheetml/2006/main">
  <dimension ref="A1:W68"/>
  <sheetViews>
    <sheetView workbookViewId="0" showGridLines="0" defaultGridColor="1"/>
  </sheetViews>
  <sheetFormatPr defaultColWidth="5.83333" defaultRowHeight="15.75" customHeight="1" outlineLevelRow="0" outlineLevelCol="0"/>
  <cols>
    <col min="1" max="21" width="5.85156" style="237" customWidth="1"/>
    <col min="22" max="22" hidden="1" width="5.83333" style="237" customWidth="1"/>
    <col min="23" max="23" width="5.85156" style="237" customWidth="1"/>
    <col min="24" max="16384" width="5.85156" style="237" customWidth="1"/>
  </cols>
  <sheetData>
    <row r="1" ht="15.75" customHeight="1">
      <c r="A1" s="7"/>
      <c r="B1" s="8"/>
      <c r="C1" s="8"/>
      <c r="D1" s="8"/>
      <c r="E1" s="8"/>
      <c r="F1" s="8"/>
      <c r="G1" s="8"/>
      <c r="H1" s="8"/>
      <c r="I1" s="8"/>
      <c r="J1" s="8"/>
      <c r="K1" s="8"/>
      <c r="L1" s="8"/>
      <c r="M1" s="8"/>
      <c r="N1" s="8"/>
      <c r="O1" s="8"/>
      <c r="P1" s="8"/>
      <c r="Q1" s="8"/>
      <c r="R1" s="8"/>
      <c r="S1" s="8"/>
      <c r="T1" s="8"/>
      <c r="U1" s="8"/>
      <c r="V1" s="8"/>
      <c r="W1" s="9"/>
    </row>
    <row r="2" ht="15.75" customHeight="1">
      <c r="A2" t="s" s="10">
        <v>6</v>
      </c>
      <c r="B2" s="11"/>
      <c r="C2" s="11"/>
      <c r="D2" s="11"/>
      <c r="E2" s="11"/>
      <c r="F2" s="11"/>
      <c r="G2" s="11"/>
      <c r="H2" s="11"/>
      <c r="I2" s="11"/>
      <c r="J2" s="11"/>
      <c r="K2" s="11"/>
      <c r="L2" s="11"/>
      <c r="M2" s="11"/>
      <c r="N2" s="11"/>
      <c r="O2" s="11"/>
      <c r="P2" s="11"/>
      <c r="Q2" s="11"/>
      <c r="R2" s="11"/>
      <c r="S2" s="11"/>
      <c r="T2" s="11"/>
      <c r="U2" s="11"/>
      <c r="V2" s="11"/>
      <c r="W2" s="12"/>
    </row>
    <row r="3" ht="15.75" customHeight="1">
      <c r="A3" s="13"/>
      <c r="B3" s="11"/>
      <c r="C3" s="14"/>
      <c r="D3" s="14"/>
      <c r="E3" s="14"/>
      <c r="F3" s="14"/>
      <c r="G3" s="14"/>
      <c r="H3" s="14"/>
      <c r="I3" s="14"/>
      <c r="J3" s="14"/>
      <c r="K3" s="14"/>
      <c r="L3" s="14"/>
      <c r="M3" s="14"/>
      <c r="N3" s="14"/>
      <c r="O3" s="14"/>
      <c r="P3" s="14"/>
      <c r="Q3" s="14"/>
      <c r="R3" s="14"/>
      <c r="S3" s="14"/>
      <c r="T3" s="14"/>
      <c r="U3" s="14"/>
      <c r="V3" s="11"/>
      <c r="W3" s="12"/>
    </row>
    <row r="4" ht="18.75" customHeight="1">
      <c r="A4" s="13"/>
      <c r="B4" s="15"/>
      <c r="C4" t="s" s="16">
        <v>7</v>
      </c>
      <c r="D4" s="17"/>
      <c r="E4" s="17"/>
      <c r="F4" s="17"/>
      <c r="G4" s="17"/>
      <c r="H4" s="17"/>
      <c r="I4" s="17"/>
      <c r="J4" s="17"/>
      <c r="K4" s="17"/>
      <c r="L4" s="17"/>
      <c r="M4" s="17"/>
      <c r="N4" s="17"/>
      <c r="O4" s="17"/>
      <c r="P4" s="17"/>
      <c r="Q4" s="17"/>
      <c r="R4" s="17"/>
      <c r="S4" s="17"/>
      <c r="T4" s="17"/>
      <c r="U4" s="17"/>
      <c r="V4" s="178"/>
      <c r="W4" s="12"/>
    </row>
    <row r="5"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8"/>
      <c r="V5" s="179"/>
      <c r="W5" s="12"/>
    </row>
    <row r="6" ht="18" customHeight="1">
      <c r="A6" s="20"/>
      <c r="B6" s="21"/>
      <c r="C6" t="s" s="30">
        <v>11</v>
      </c>
      <c r="D6" s="31"/>
      <c r="E6" s="31"/>
      <c r="F6" s="31"/>
      <c r="G6" s="32">
        <f>'Kap. 1, 2, 3'!G6:H6</f>
      </c>
      <c r="H6" s="32"/>
      <c r="I6" s="33"/>
      <c r="J6" s="33"/>
      <c r="K6" s="33"/>
      <c r="L6" s="33"/>
      <c r="M6" s="33"/>
      <c r="N6" s="33"/>
      <c r="O6" s="33"/>
      <c r="P6" s="33"/>
      <c r="Q6" s="33"/>
      <c r="R6" s="33"/>
      <c r="S6" s="33"/>
      <c r="T6" s="33"/>
      <c r="U6" s="33"/>
      <c r="V6" s="179"/>
      <c r="W6" s="12"/>
    </row>
    <row r="7" ht="15.75" customHeight="1">
      <c r="A7" s="13"/>
      <c r="B7" s="11"/>
      <c r="C7" s="35"/>
      <c r="D7" s="35"/>
      <c r="E7" s="35"/>
      <c r="F7" s="35"/>
      <c r="G7" s="35"/>
      <c r="H7" s="35"/>
      <c r="I7" s="35"/>
      <c r="J7" s="35"/>
      <c r="K7" s="35"/>
      <c r="L7" s="35"/>
      <c r="M7" s="35"/>
      <c r="N7" s="35"/>
      <c r="O7" s="35"/>
      <c r="P7" s="35"/>
      <c r="Q7" s="35"/>
      <c r="R7" s="35"/>
      <c r="S7" s="35"/>
      <c r="T7" s="35"/>
      <c r="U7" s="35"/>
      <c r="V7" s="11"/>
      <c r="W7" s="12"/>
    </row>
    <row r="8" ht="21" customHeight="1">
      <c r="A8" s="13"/>
      <c r="B8" s="11"/>
      <c r="C8" t="s" s="38">
        <v>105</v>
      </c>
      <c r="D8" s="39"/>
      <c r="E8" s="39"/>
      <c r="F8" s="39"/>
      <c r="G8" s="39"/>
      <c r="H8" s="39"/>
      <c r="I8" s="39"/>
      <c r="J8" s="39"/>
      <c r="K8" s="39"/>
      <c r="L8" s="39"/>
      <c r="M8" s="39"/>
      <c r="N8" s="39"/>
      <c r="O8" s="39"/>
      <c r="P8" s="39"/>
      <c r="Q8" s="39"/>
      <c r="R8" s="39"/>
      <c r="S8" s="39"/>
      <c r="T8" s="39"/>
      <c r="U8" s="39"/>
      <c r="V8" s="11"/>
      <c r="W8" s="12"/>
    </row>
    <row r="9" ht="15.75" customHeight="1">
      <c r="A9" s="13"/>
      <c r="B9" s="11"/>
      <c r="C9" s="14"/>
      <c r="D9" s="14"/>
      <c r="E9" s="14"/>
      <c r="F9" s="14"/>
      <c r="G9" s="14"/>
      <c r="H9" s="14"/>
      <c r="I9" s="14"/>
      <c r="J9" s="14"/>
      <c r="K9" s="14"/>
      <c r="L9" s="14"/>
      <c r="M9" s="14"/>
      <c r="N9" s="14"/>
      <c r="O9" s="14"/>
      <c r="P9" s="14"/>
      <c r="Q9" s="14"/>
      <c r="R9" s="14"/>
      <c r="S9" s="14"/>
      <c r="T9" s="14"/>
      <c r="U9" s="14"/>
      <c r="V9" s="11"/>
      <c r="W9" s="12"/>
    </row>
    <row r="10" ht="18.75" customHeight="1">
      <c r="A10" s="13"/>
      <c r="B10" s="15"/>
      <c r="C10" t="s" s="180">
        <v>202</v>
      </c>
      <c r="D10" s="181"/>
      <c r="E10" s="181"/>
      <c r="F10" s="181"/>
      <c r="G10" s="181"/>
      <c r="H10" s="181"/>
      <c r="I10" s="181"/>
      <c r="J10" s="181"/>
      <c r="K10" s="181"/>
      <c r="L10" s="181"/>
      <c r="M10" s="181"/>
      <c r="N10" s="181"/>
      <c r="O10" s="181"/>
      <c r="P10" s="181"/>
      <c r="Q10" s="181"/>
      <c r="R10" s="181"/>
      <c r="S10" s="181"/>
      <c r="T10" s="181"/>
      <c r="U10" s="181"/>
      <c r="V10" s="11"/>
      <c r="W10" s="12"/>
    </row>
    <row r="11" ht="15.75" customHeight="1">
      <c r="A11" s="13"/>
      <c r="B11" s="11"/>
      <c r="C11" s="182"/>
      <c r="D11" s="182"/>
      <c r="E11" s="182"/>
      <c r="F11" s="182"/>
      <c r="G11" s="182"/>
      <c r="H11" s="182"/>
      <c r="I11" s="182"/>
      <c r="J11" s="182"/>
      <c r="K11" s="182"/>
      <c r="L11" s="182"/>
      <c r="M11" s="182"/>
      <c r="N11" s="182"/>
      <c r="O11" s="182"/>
      <c r="P11" s="182"/>
      <c r="Q11" s="182"/>
      <c r="R11" s="182"/>
      <c r="S11" s="182"/>
      <c r="T11" s="182"/>
      <c r="U11" s="182"/>
      <c r="V11" s="11"/>
      <c r="W11" s="12"/>
    </row>
    <row r="12" ht="45" customHeight="1">
      <c r="A12" s="13"/>
      <c r="B12" s="15"/>
      <c r="C12" t="s" s="183">
        <v>107</v>
      </c>
      <c r="D12" s="184"/>
      <c r="E12" s="184"/>
      <c r="F12" s="184"/>
      <c r="G12" s="184"/>
      <c r="H12" s="184"/>
      <c r="I12" s="184"/>
      <c r="J12" s="184"/>
      <c r="K12" s="185"/>
      <c r="L12" t="s" s="186">
        <v>203</v>
      </c>
      <c r="M12" s="187"/>
      <c r="N12" t="s" s="188">
        <v>109</v>
      </c>
      <c r="O12" s="189"/>
      <c r="P12" t="s" s="190">
        <v>110</v>
      </c>
      <c r="Q12" s="191"/>
      <c r="R12" t="s" s="192">
        <v>111</v>
      </c>
      <c r="S12" s="193"/>
      <c r="T12" t="s" s="194">
        <v>112</v>
      </c>
      <c r="U12" s="195"/>
      <c r="V12" s="11"/>
      <c r="W12" s="12"/>
    </row>
    <row r="13" ht="25.5" customHeight="1">
      <c r="A13" t="s" s="95">
        <v>204</v>
      </c>
      <c r="B13" s="196">
        <v>1</v>
      </c>
      <c r="C13" t="s" s="197">
        <f>CONCATENATE(A13,B13)</f>
        <v>205</v>
      </c>
      <c r="D13" t="s" s="198">
        <v>206</v>
      </c>
      <c r="E13" s="199"/>
      <c r="F13" s="199"/>
      <c r="G13" s="199"/>
      <c r="H13" s="199"/>
      <c r="I13" s="199"/>
      <c r="J13" s="199"/>
      <c r="K13" s="200"/>
      <c r="L13" s="201"/>
      <c r="M13" s="202"/>
      <c r="N13" s="201"/>
      <c r="O13" s="202"/>
      <c r="P13" s="201"/>
      <c r="Q13" s="202"/>
      <c r="R13" s="201"/>
      <c r="S13" s="202"/>
      <c r="T13" s="203">
        <f>IF(V13&lt;1,0,V13-1)</f>
        <v>0</v>
      </c>
      <c r="U13" s="204"/>
      <c r="V13" s="96">
        <v>0</v>
      </c>
      <c r="W13" s="12"/>
    </row>
    <row r="14" ht="25.5" customHeight="1">
      <c r="A14" t="s" s="95">
        <v>204</v>
      </c>
      <c r="B14" s="196">
        <v>2</v>
      </c>
      <c r="C14" t="s" s="197">
        <f>CONCATENATE(A14,B14)</f>
        <v>207</v>
      </c>
      <c r="D14" t="s" s="198">
        <v>208</v>
      </c>
      <c r="E14" s="199"/>
      <c r="F14" s="199"/>
      <c r="G14" s="199"/>
      <c r="H14" s="199"/>
      <c r="I14" s="199"/>
      <c r="J14" s="199"/>
      <c r="K14" s="200"/>
      <c r="L14" s="201"/>
      <c r="M14" s="202"/>
      <c r="N14" s="201"/>
      <c r="O14" s="202"/>
      <c r="P14" s="201"/>
      <c r="Q14" s="202"/>
      <c r="R14" s="201"/>
      <c r="S14" s="202"/>
      <c r="T14" s="203">
        <f>IF(V14&lt;1,0,V14-1)</f>
        <v>0</v>
      </c>
      <c r="U14" s="204"/>
      <c r="V14" s="96">
        <v>0</v>
      </c>
      <c r="W14" s="12"/>
    </row>
    <row r="15" ht="25.5" customHeight="1">
      <c r="A15" t="s" s="95">
        <v>204</v>
      </c>
      <c r="B15" s="196">
        <v>3</v>
      </c>
      <c r="C15" t="s" s="197">
        <f>CONCATENATE(A15,B15)</f>
        <v>209</v>
      </c>
      <c r="D15" t="s" s="198">
        <v>210</v>
      </c>
      <c r="E15" s="199"/>
      <c r="F15" s="199"/>
      <c r="G15" s="199"/>
      <c r="H15" s="199"/>
      <c r="I15" s="199"/>
      <c r="J15" s="199"/>
      <c r="K15" s="200"/>
      <c r="L15" s="201"/>
      <c r="M15" s="202"/>
      <c r="N15" s="201"/>
      <c r="O15" s="202"/>
      <c r="P15" s="201"/>
      <c r="Q15" s="202"/>
      <c r="R15" s="201"/>
      <c r="S15" s="202"/>
      <c r="T15" s="203">
        <f>IF(V15&lt;1,0,V15-1)</f>
        <v>0</v>
      </c>
      <c r="U15" s="204"/>
      <c r="V15" s="96">
        <v>0</v>
      </c>
      <c r="W15" s="12"/>
    </row>
    <row r="16" ht="25.5" customHeight="1">
      <c r="A16" t="s" s="95">
        <v>204</v>
      </c>
      <c r="B16" s="196">
        <v>4</v>
      </c>
      <c r="C16" t="s" s="197">
        <f>CONCATENATE(A16,B16)</f>
        <v>211</v>
      </c>
      <c r="D16" t="s" s="198">
        <v>212</v>
      </c>
      <c r="E16" s="199"/>
      <c r="F16" s="199"/>
      <c r="G16" s="199"/>
      <c r="H16" s="199"/>
      <c r="I16" s="199"/>
      <c r="J16" s="199"/>
      <c r="K16" s="200"/>
      <c r="L16" s="201"/>
      <c r="M16" s="202"/>
      <c r="N16" s="201"/>
      <c r="O16" s="202"/>
      <c r="P16" s="201"/>
      <c r="Q16" s="202"/>
      <c r="R16" s="201"/>
      <c r="S16" s="202"/>
      <c r="T16" s="203">
        <f>IF(V16&lt;1,0,V16-1)</f>
        <v>0</v>
      </c>
      <c r="U16" s="204"/>
      <c r="V16" s="96">
        <v>0</v>
      </c>
      <c r="W16" s="12"/>
    </row>
    <row r="17" ht="25.5" customHeight="1">
      <c r="A17" t="s" s="95">
        <v>204</v>
      </c>
      <c r="B17" s="196">
        <v>5</v>
      </c>
      <c r="C17" t="s" s="197">
        <f>CONCATENATE(A17,B17)</f>
        <v>213</v>
      </c>
      <c r="D17" t="s" s="198">
        <v>214</v>
      </c>
      <c r="E17" s="199"/>
      <c r="F17" s="199"/>
      <c r="G17" s="199"/>
      <c r="H17" s="199"/>
      <c r="I17" s="199"/>
      <c r="J17" s="199"/>
      <c r="K17" s="200"/>
      <c r="L17" s="201"/>
      <c r="M17" s="202"/>
      <c r="N17" s="201"/>
      <c r="O17" s="202"/>
      <c r="P17" s="201"/>
      <c r="Q17" s="202"/>
      <c r="R17" s="201"/>
      <c r="S17" s="202"/>
      <c r="T17" s="203">
        <f>IF(V17&lt;1,0,V17-1)</f>
        <v>0</v>
      </c>
      <c r="U17" s="204"/>
      <c r="V17" s="96">
        <v>0</v>
      </c>
      <c r="W17" s="12"/>
    </row>
    <row r="18" ht="25.5" customHeight="1">
      <c r="A18" t="s" s="95">
        <v>204</v>
      </c>
      <c r="B18" s="196">
        <v>6</v>
      </c>
      <c r="C18" t="s" s="197">
        <f>CONCATENATE(A18,B18)</f>
        <v>215</v>
      </c>
      <c r="D18" t="s" s="198">
        <v>216</v>
      </c>
      <c r="E18" s="199"/>
      <c r="F18" s="199"/>
      <c r="G18" s="199"/>
      <c r="H18" s="199"/>
      <c r="I18" s="199"/>
      <c r="J18" s="199"/>
      <c r="K18" s="200"/>
      <c r="L18" s="201"/>
      <c r="M18" s="202"/>
      <c r="N18" s="201"/>
      <c r="O18" s="202"/>
      <c r="P18" s="201"/>
      <c r="Q18" s="202"/>
      <c r="R18" s="201"/>
      <c r="S18" s="202"/>
      <c r="T18" s="203">
        <f>IF(V18&lt;1,0,V18-1)</f>
        <v>0</v>
      </c>
      <c r="U18" s="204"/>
      <c r="V18" s="96">
        <v>0</v>
      </c>
      <c r="W18" s="12"/>
    </row>
    <row r="19" ht="33.95" customHeight="1">
      <c r="A19" t="s" s="95">
        <v>204</v>
      </c>
      <c r="B19" s="196">
        <v>7</v>
      </c>
      <c r="C19" t="s" s="197">
        <f>CONCATENATE(A19,B19)</f>
        <v>217</v>
      </c>
      <c r="D19" t="s" s="198">
        <v>218</v>
      </c>
      <c r="E19" s="199"/>
      <c r="F19" s="199"/>
      <c r="G19" s="199"/>
      <c r="H19" s="199"/>
      <c r="I19" s="199"/>
      <c r="J19" s="199"/>
      <c r="K19" s="200"/>
      <c r="L19" s="201"/>
      <c r="M19" s="202"/>
      <c r="N19" s="201"/>
      <c r="O19" s="202"/>
      <c r="P19" s="201"/>
      <c r="Q19" s="202"/>
      <c r="R19" s="201"/>
      <c r="S19" s="202"/>
      <c r="T19" s="203">
        <f>IF(V19&lt;1,0,V19-1)</f>
        <v>0</v>
      </c>
      <c r="U19" s="204"/>
      <c r="V19" s="96">
        <v>0</v>
      </c>
      <c r="W19" s="12"/>
    </row>
    <row r="20" ht="25.5" customHeight="1">
      <c r="A20" t="s" s="95">
        <v>204</v>
      </c>
      <c r="B20" s="196">
        <v>8</v>
      </c>
      <c r="C20" t="s" s="197">
        <f>CONCATENATE(A20,B20)</f>
        <v>219</v>
      </c>
      <c r="D20" t="s" s="198">
        <v>220</v>
      </c>
      <c r="E20" s="199"/>
      <c r="F20" s="199"/>
      <c r="G20" s="199"/>
      <c r="H20" s="199"/>
      <c r="I20" s="199"/>
      <c r="J20" s="199"/>
      <c r="K20" s="200"/>
      <c r="L20" s="201"/>
      <c r="M20" s="202"/>
      <c r="N20" s="201"/>
      <c r="O20" s="202"/>
      <c r="P20" s="201"/>
      <c r="Q20" s="202"/>
      <c r="R20" s="201"/>
      <c r="S20" s="202"/>
      <c r="T20" s="203">
        <f>IF(V20&lt;=1,0,IF(V20=2,3,IF(V20=3,6,IF(V20=4,9))))</f>
        <v>0</v>
      </c>
      <c r="U20" s="204"/>
      <c r="V20" s="96">
        <v>0</v>
      </c>
      <c r="W20" s="12"/>
    </row>
    <row r="21" ht="25.5" customHeight="1">
      <c r="A21" t="s" s="95">
        <v>204</v>
      </c>
      <c r="B21" s="196">
        <v>9</v>
      </c>
      <c r="C21" t="s" s="197">
        <f>CONCATENATE(A21,B21)</f>
        <v>221</v>
      </c>
      <c r="D21" t="s" s="198">
        <v>222</v>
      </c>
      <c r="E21" s="199"/>
      <c r="F21" s="199"/>
      <c r="G21" s="199"/>
      <c r="H21" s="199"/>
      <c r="I21" s="199"/>
      <c r="J21" s="199"/>
      <c r="K21" s="200"/>
      <c r="L21" s="201"/>
      <c r="M21" s="202"/>
      <c r="N21" s="201"/>
      <c r="O21" s="202"/>
      <c r="P21" s="201"/>
      <c r="Q21" s="202"/>
      <c r="R21" s="201"/>
      <c r="S21" s="202"/>
      <c r="T21" s="203">
        <f>IF(V21&lt;=1,0,IF(V21=2,2,IF(V21=3,4,IF(V21=4,6))))</f>
        <v>0</v>
      </c>
      <c r="U21" s="204"/>
      <c r="V21" s="96">
        <v>0</v>
      </c>
      <c r="W21" s="12"/>
    </row>
    <row r="22" ht="25.5" customHeight="1">
      <c r="A22" t="s" s="95">
        <v>204</v>
      </c>
      <c r="B22" s="196">
        <v>10</v>
      </c>
      <c r="C22" t="s" s="197">
        <f>CONCATENATE(A22,B22)</f>
        <v>223</v>
      </c>
      <c r="D22" t="s" s="198">
        <v>224</v>
      </c>
      <c r="E22" s="199"/>
      <c r="F22" s="199"/>
      <c r="G22" s="199"/>
      <c r="H22" s="199"/>
      <c r="I22" s="199"/>
      <c r="J22" s="199"/>
      <c r="K22" s="200"/>
      <c r="L22" s="201"/>
      <c r="M22" s="202"/>
      <c r="N22" s="201"/>
      <c r="O22" s="202"/>
      <c r="P22" s="201"/>
      <c r="Q22" s="202"/>
      <c r="R22" s="201"/>
      <c r="S22" s="202"/>
      <c r="T22" s="203">
        <f>IF(V22&lt;=1,0,IF(V22=2,2,IF(V22=3,4,IF(V22=4,6))))</f>
        <v>0</v>
      </c>
      <c r="U22" s="204"/>
      <c r="V22" s="96">
        <v>0</v>
      </c>
      <c r="W22" s="12"/>
    </row>
    <row r="23" ht="33.95" customHeight="1">
      <c r="A23" t="s" s="95">
        <v>204</v>
      </c>
      <c r="B23" s="196">
        <v>11</v>
      </c>
      <c r="C23" t="s" s="197">
        <f>CONCATENATE(A23,B23)</f>
        <v>225</v>
      </c>
      <c r="D23" t="s" s="198">
        <v>226</v>
      </c>
      <c r="E23" s="199"/>
      <c r="F23" s="199"/>
      <c r="G23" s="199"/>
      <c r="H23" s="199"/>
      <c r="I23" s="199"/>
      <c r="J23" s="199"/>
      <c r="K23" s="200"/>
      <c r="L23" s="201"/>
      <c r="M23" s="202"/>
      <c r="N23" s="201"/>
      <c r="O23" s="202"/>
      <c r="P23" s="201"/>
      <c r="Q23" s="202"/>
      <c r="R23" s="201"/>
      <c r="S23" s="202"/>
      <c r="T23" s="203">
        <f>IF(V23&lt;1,0,V23-1)</f>
        <v>0</v>
      </c>
      <c r="U23" s="204"/>
      <c r="V23" s="96">
        <v>0</v>
      </c>
      <c r="W23" s="12"/>
    </row>
    <row r="24" ht="33.95" customHeight="1">
      <c r="A24" t="s" s="95">
        <v>204</v>
      </c>
      <c r="B24" s="196">
        <v>12</v>
      </c>
      <c r="C24" t="s" s="197">
        <f>CONCATENATE(A24,B24)</f>
        <v>227</v>
      </c>
      <c r="D24" t="s" s="198">
        <v>228</v>
      </c>
      <c r="E24" s="199"/>
      <c r="F24" s="199"/>
      <c r="G24" s="199"/>
      <c r="H24" s="199"/>
      <c r="I24" s="199"/>
      <c r="J24" s="199"/>
      <c r="K24" s="200"/>
      <c r="L24" s="201"/>
      <c r="M24" s="202"/>
      <c r="N24" s="201"/>
      <c r="O24" s="202"/>
      <c r="P24" s="201"/>
      <c r="Q24" s="202"/>
      <c r="R24" s="201"/>
      <c r="S24" s="202"/>
      <c r="T24" s="203">
        <f>IF(V24&lt;1,0,V24-1)</f>
        <v>0</v>
      </c>
      <c r="U24" s="204"/>
      <c r="V24" s="96">
        <v>0</v>
      </c>
      <c r="W24" s="12"/>
    </row>
    <row r="25" ht="15.75" customHeight="1">
      <c r="A25" s="13"/>
      <c r="B25" s="11"/>
      <c r="C25" s="182"/>
      <c r="D25" s="182"/>
      <c r="E25" s="182"/>
      <c r="F25" s="182"/>
      <c r="G25" s="182"/>
      <c r="H25" s="182"/>
      <c r="I25" s="182"/>
      <c r="J25" s="182"/>
      <c r="K25" s="182"/>
      <c r="L25" s="182"/>
      <c r="M25" s="182"/>
      <c r="N25" s="182"/>
      <c r="O25" s="182"/>
      <c r="P25" s="182"/>
      <c r="Q25" s="182"/>
      <c r="R25" s="182"/>
      <c r="S25" s="182"/>
      <c r="T25" s="182"/>
      <c r="U25" s="182"/>
      <c r="V25" s="11"/>
      <c r="W25" s="12"/>
    </row>
    <row r="26" ht="63" customHeight="1">
      <c r="A26" s="13"/>
      <c r="B26" s="15"/>
      <c r="C26" t="s" s="183">
        <v>107</v>
      </c>
      <c r="D26" s="184"/>
      <c r="E26" s="184"/>
      <c r="F26" s="184"/>
      <c r="G26" s="184"/>
      <c r="H26" s="184"/>
      <c r="I26" s="184"/>
      <c r="J26" s="184"/>
      <c r="K26" s="185"/>
      <c r="L26" t="s" s="186">
        <v>229</v>
      </c>
      <c r="M26" s="187"/>
      <c r="N26" t="s" s="188">
        <v>230</v>
      </c>
      <c r="O26" s="189"/>
      <c r="P26" t="s" s="190">
        <v>231</v>
      </c>
      <c r="Q26" s="191"/>
      <c r="R26" t="s" s="192">
        <v>232</v>
      </c>
      <c r="S26" s="193"/>
      <c r="T26" t="s" s="194">
        <v>112</v>
      </c>
      <c r="U26" s="195"/>
      <c r="V26" s="11"/>
      <c r="W26" s="12"/>
    </row>
    <row r="27" ht="25.5" customHeight="1">
      <c r="A27" t="s" s="95">
        <v>204</v>
      </c>
      <c r="B27" s="196">
        <v>13</v>
      </c>
      <c r="C27" t="s" s="197">
        <f>CONCATENATE(A27,B27)</f>
        <v>233</v>
      </c>
      <c r="D27" t="s" s="198">
        <v>234</v>
      </c>
      <c r="E27" s="199"/>
      <c r="F27" s="199"/>
      <c r="G27" s="199"/>
      <c r="H27" s="199"/>
      <c r="I27" s="199"/>
      <c r="J27" s="199"/>
      <c r="K27" s="200"/>
      <c r="L27" s="201"/>
      <c r="M27" s="202"/>
      <c r="N27" s="201"/>
      <c r="O27" s="202"/>
      <c r="P27" s="201"/>
      <c r="Q27" s="202"/>
      <c r="R27" s="201"/>
      <c r="S27" s="202"/>
      <c r="T27" s="203">
        <f>IF(V27&lt;=1,0,IF(V27=2,0,IF(V27=3,6,IF(V27=4,3))))</f>
        <v>0</v>
      </c>
      <c r="U27" s="204"/>
      <c r="V27" s="96">
        <v>0</v>
      </c>
      <c r="W27" s="12"/>
    </row>
    <row r="28" ht="15.75" customHeight="1">
      <c r="A28" s="13"/>
      <c r="B28" s="11"/>
      <c r="C28" s="35"/>
      <c r="D28" s="35"/>
      <c r="E28" s="35"/>
      <c r="F28" s="35"/>
      <c r="G28" s="35"/>
      <c r="H28" s="35"/>
      <c r="I28" s="35"/>
      <c r="J28" s="35"/>
      <c r="K28" s="35"/>
      <c r="L28" s="35"/>
      <c r="M28" s="35"/>
      <c r="N28" s="35"/>
      <c r="O28" s="35"/>
      <c r="P28" s="35"/>
      <c r="Q28" s="35"/>
      <c r="R28" s="35"/>
      <c r="S28" s="35"/>
      <c r="T28" s="35"/>
      <c r="U28" s="35"/>
      <c r="V28" s="11"/>
      <c r="W28" s="12"/>
    </row>
    <row r="29" ht="15.75" customHeight="1">
      <c r="A29" s="13"/>
      <c r="B29" s="11"/>
      <c r="C29" t="s" s="102">
        <v>119</v>
      </c>
      <c r="D29" s="103"/>
      <c r="E29" s="103"/>
      <c r="F29" s="103"/>
      <c r="G29" s="103"/>
      <c r="H29" s="103"/>
      <c r="I29" s="40"/>
      <c r="J29" s="40"/>
      <c r="K29" s="40"/>
      <c r="L29" s="40"/>
      <c r="M29" s="40"/>
      <c r="N29" s="40"/>
      <c r="O29" s="40"/>
      <c r="P29" s="40"/>
      <c r="Q29" s="40"/>
      <c r="R29" s="40"/>
      <c r="S29" s="40"/>
      <c r="T29" s="40"/>
      <c r="U29" s="40"/>
      <c r="V29" s="11"/>
      <c r="W29" s="12"/>
    </row>
    <row r="30" ht="90" customHeight="1">
      <c r="A30" s="13"/>
      <c r="B30" s="50"/>
      <c r="C30" s="85"/>
      <c r="D30" s="86"/>
      <c r="E30" s="86"/>
      <c r="F30" s="86"/>
      <c r="G30" s="86"/>
      <c r="H30" s="86"/>
      <c r="I30" s="86"/>
      <c r="J30" s="86"/>
      <c r="K30" s="86"/>
      <c r="L30" s="86"/>
      <c r="M30" s="86"/>
      <c r="N30" s="86"/>
      <c r="O30" s="86"/>
      <c r="P30" s="86"/>
      <c r="Q30" s="86"/>
      <c r="R30" s="86"/>
      <c r="S30" s="86"/>
      <c r="T30" s="86"/>
      <c r="U30" s="86"/>
      <c r="V30" s="11"/>
      <c r="W30" s="12"/>
    </row>
    <row r="31" ht="15.75" customHeight="1">
      <c r="A31" s="13"/>
      <c r="B31" s="11"/>
      <c r="C31" s="48"/>
      <c r="D31" s="48"/>
      <c r="E31" s="48"/>
      <c r="F31" s="48"/>
      <c r="G31" s="48"/>
      <c r="H31" s="48"/>
      <c r="I31" s="48"/>
      <c r="J31" s="48"/>
      <c r="K31" s="48"/>
      <c r="L31" s="48"/>
      <c r="M31" s="48"/>
      <c r="N31" s="207"/>
      <c r="O31" s="207"/>
      <c r="P31" s="48"/>
      <c r="Q31" s="48"/>
      <c r="R31" s="48"/>
      <c r="S31" s="48"/>
      <c r="T31" s="207"/>
      <c r="U31" s="207"/>
      <c r="V31" s="11"/>
      <c r="W31" s="12"/>
    </row>
    <row r="32" ht="15.75" customHeight="1">
      <c r="A32" s="13"/>
      <c r="B32" s="11"/>
      <c r="C32" s="11"/>
      <c r="D32" s="11"/>
      <c r="E32" s="11"/>
      <c r="F32" s="11"/>
      <c r="G32" s="11"/>
      <c r="H32" s="11"/>
      <c r="I32" s="11"/>
      <c r="J32" s="11"/>
      <c r="K32" s="11"/>
      <c r="L32" t="s" s="208">
        <v>122</v>
      </c>
      <c r="M32" s="209"/>
      <c r="N32" s="210">
        <f>SUM(T13:U24,T27)</f>
        <v>0</v>
      </c>
      <c r="O32" s="211"/>
      <c r="P32" s="19"/>
      <c r="Q32" t="s" s="208">
        <v>123</v>
      </c>
      <c r="R32" s="212"/>
      <c r="S32" s="209"/>
      <c r="T32" s="210">
        <f>IF($N$32&lt;=2,0,IF($N$32&lt;8,10,IF($N$32&lt;19,20,IF($N$32&lt;37,30,IF($N$32&lt;=54,40,"Fehler")))))</f>
        <v>0</v>
      </c>
      <c r="U32" s="213"/>
      <c r="V32" s="11"/>
      <c r="W32" s="12"/>
    </row>
    <row r="33" ht="15.75" customHeight="1">
      <c r="A33" s="13"/>
      <c r="B33" s="11"/>
      <c r="C33" s="11"/>
      <c r="D33" s="11"/>
      <c r="E33" s="11"/>
      <c r="F33" s="11"/>
      <c r="G33" s="11"/>
      <c r="H33" s="11"/>
      <c r="I33" s="11"/>
      <c r="J33" s="11"/>
      <c r="K33" s="11"/>
      <c r="L33" s="14"/>
      <c r="M33" s="14"/>
      <c r="N33" s="182"/>
      <c r="O33" s="182"/>
      <c r="P33" s="14"/>
      <c r="Q33" s="14"/>
      <c r="R33" s="14"/>
      <c r="S33" s="14"/>
      <c r="T33" s="182"/>
      <c r="U33" s="182"/>
      <c r="V33" s="11"/>
      <c r="W33" s="12"/>
    </row>
    <row r="34" ht="18.75" customHeight="1">
      <c r="A34" s="13"/>
      <c r="B34" s="11"/>
      <c r="C34" s="11"/>
      <c r="D34" s="11"/>
      <c r="E34" s="11"/>
      <c r="F34" s="11"/>
      <c r="G34" s="11"/>
      <c r="H34" s="11"/>
      <c r="I34" s="11"/>
      <c r="J34" s="11"/>
      <c r="K34" s="15"/>
      <c r="L34" t="s" s="234">
        <v>124</v>
      </c>
      <c r="M34" s="235"/>
      <c r="N34" s="235"/>
      <c r="O34" s="235"/>
      <c r="P34" s="235"/>
      <c r="Q34" s="235"/>
      <c r="R34" s="235"/>
      <c r="S34" s="235"/>
      <c r="T34" s="235"/>
      <c r="U34" s="238"/>
      <c r="V34" s="11"/>
      <c r="W34" s="12"/>
    </row>
    <row r="35" ht="15.75" customHeight="1">
      <c r="A35" s="13"/>
      <c r="B35" s="11"/>
      <c r="C35" s="11"/>
      <c r="D35" s="11"/>
      <c r="E35" s="11"/>
      <c r="F35" s="11"/>
      <c r="G35" s="11"/>
      <c r="H35" s="11"/>
      <c r="I35" s="11"/>
      <c r="J35" s="11"/>
      <c r="K35" t="s" s="217">
        <v>122</v>
      </c>
      <c r="L35" t="s" s="218">
        <v>235</v>
      </c>
      <c r="M35" s="219"/>
      <c r="N35" t="s" s="218">
        <v>236</v>
      </c>
      <c r="O35" s="219"/>
      <c r="P35" t="s" s="218">
        <v>237</v>
      </c>
      <c r="Q35" s="219"/>
      <c r="R35" t="s" s="218">
        <v>238</v>
      </c>
      <c r="S35" s="219"/>
      <c r="T35" t="s" s="218">
        <v>239</v>
      </c>
      <c r="U35" s="226"/>
      <c r="V35" s="11"/>
      <c r="W35" s="12"/>
    </row>
    <row r="36" ht="15.75" customHeight="1">
      <c r="A36" s="13"/>
      <c r="B36" s="11"/>
      <c r="C36" s="11"/>
      <c r="D36" s="11"/>
      <c r="E36" s="11"/>
      <c r="F36" s="11"/>
      <c r="G36" s="11"/>
      <c r="H36" s="11"/>
      <c r="I36" s="11"/>
      <c r="J36" s="11"/>
      <c r="K36" t="s" s="217">
        <v>130</v>
      </c>
      <c r="L36" s="222">
        <v>0</v>
      </c>
      <c r="M36" s="219"/>
      <c r="N36" s="222">
        <v>10</v>
      </c>
      <c r="O36" s="219"/>
      <c r="P36" s="222">
        <v>20</v>
      </c>
      <c r="Q36" s="219"/>
      <c r="R36" s="222">
        <v>30</v>
      </c>
      <c r="S36" s="219"/>
      <c r="T36" s="222">
        <v>40</v>
      </c>
      <c r="U36" s="226"/>
      <c r="V36" s="11"/>
      <c r="W36" s="12"/>
    </row>
    <row r="37" ht="15.75" customHeight="1">
      <c r="A37" s="13"/>
      <c r="B37" s="11"/>
      <c r="C37" s="11"/>
      <c r="D37" s="11"/>
      <c r="E37" s="11"/>
      <c r="F37" s="11"/>
      <c r="G37" s="11"/>
      <c r="H37" s="11"/>
      <c r="I37" s="11"/>
      <c r="J37" s="11"/>
      <c r="K37" s="11"/>
      <c r="L37" s="35"/>
      <c r="M37" s="35"/>
      <c r="N37" s="35"/>
      <c r="O37" s="35"/>
      <c r="P37" s="35"/>
      <c r="Q37" s="35"/>
      <c r="R37" s="35"/>
      <c r="S37" s="35"/>
      <c r="T37" s="35"/>
      <c r="U37" s="35"/>
      <c r="V37" s="11"/>
      <c r="W37" s="12"/>
    </row>
    <row r="38" ht="15.75" customHeight="1">
      <c r="A38" s="13"/>
      <c r="B38" s="11"/>
      <c r="C38" t="s" s="41">
        <v>240</v>
      </c>
      <c r="D38" s="42"/>
      <c r="E38" s="42"/>
      <c r="F38" s="42"/>
      <c r="G38" s="42"/>
      <c r="H38" s="42"/>
      <c r="I38" s="11"/>
      <c r="J38" s="11"/>
      <c r="K38" s="11"/>
      <c r="L38" s="11"/>
      <c r="M38" s="11"/>
      <c r="N38" s="11"/>
      <c r="O38" s="11"/>
      <c r="P38" s="11"/>
      <c r="Q38" s="11"/>
      <c r="R38" s="11"/>
      <c r="S38" s="11"/>
      <c r="T38" s="11"/>
      <c r="U38" s="11"/>
      <c r="V38" s="11"/>
      <c r="W38" s="12"/>
    </row>
    <row r="39" ht="15.75" customHeight="1">
      <c r="A39" s="13"/>
      <c r="B39" s="11"/>
      <c r="C39" s="40"/>
      <c r="D39" s="40"/>
      <c r="E39" s="40"/>
      <c r="F39" s="40"/>
      <c r="G39" s="40"/>
      <c r="H39" s="40"/>
      <c r="I39" s="40"/>
      <c r="J39" s="40"/>
      <c r="K39" s="40"/>
      <c r="L39" s="40"/>
      <c r="M39" s="40"/>
      <c r="N39" s="40"/>
      <c r="O39" s="40"/>
      <c r="P39" s="40"/>
      <c r="Q39" s="40"/>
      <c r="R39" s="40"/>
      <c r="S39" s="40"/>
      <c r="T39" s="40"/>
      <c r="U39" s="40"/>
      <c r="V39" s="11"/>
      <c r="W39" s="12"/>
    </row>
    <row r="40" ht="24.95" customHeight="1">
      <c r="A40" s="13"/>
      <c r="B40" s="50"/>
      <c r="C40" t="s" s="239">
        <v>241</v>
      </c>
      <c r="D40" s="240"/>
      <c r="E40" s="240"/>
      <c r="F40" s="240"/>
      <c r="G40" s="240"/>
      <c r="H40" s="240"/>
      <c r="I40" s="240"/>
      <c r="J40" s="240"/>
      <c r="K40" s="240"/>
      <c r="L40" s="240"/>
      <c r="M40" s="240"/>
      <c r="N40" s="240"/>
      <c r="O40" s="240"/>
      <c r="P40" s="240"/>
      <c r="Q40" s="240"/>
      <c r="R40" s="240"/>
      <c r="S40" s="240"/>
      <c r="T40" s="240"/>
      <c r="U40" s="240"/>
      <c r="V40" s="11"/>
      <c r="W40" s="12"/>
    </row>
    <row r="41" ht="25.5" customHeight="1">
      <c r="A41" s="13"/>
      <c r="B41" s="50"/>
      <c r="C41" s="71"/>
      <c r="D41" t="s" s="72">
        <v>242</v>
      </c>
      <c r="E41" s="73"/>
      <c r="F41" s="73"/>
      <c r="G41" s="73"/>
      <c r="H41" s="73"/>
      <c r="I41" s="73"/>
      <c r="J41" s="73"/>
      <c r="K41" s="73"/>
      <c r="L41" s="73"/>
      <c r="M41" s="73"/>
      <c r="N41" s="73"/>
      <c r="O41" s="73"/>
      <c r="P41" s="73"/>
      <c r="Q41" s="73"/>
      <c r="R41" s="73"/>
      <c r="S41" s="73"/>
      <c r="T41" s="73"/>
      <c r="U41" s="73"/>
      <c r="V41" s="11"/>
      <c r="W41" s="12"/>
    </row>
    <row r="42" ht="25.5" customHeight="1">
      <c r="A42" s="13"/>
      <c r="B42" s="50"/>
      <c r="C42" s="75"/>
      <c r="D42" t="s" s="76">
        <v>243</v>
      </c>
      <c r="E42" s="77"/>
      <c r="F42" s="77"/>
      <c r="G42" s="77"/>
      <c r="H42" s="77"/>
      <c r="I42" s="77"/>
      <c r="J42" s="77"/>
      <c r="K42" s="77"/>
      <c r="L42" s="77"/>
      <c r="M42" s="77"/>
      <c r="N42" s="77"/>
      <c r="O42" s="77"/>
      <c r="P42" s="77"/>
      <c r="Q42" s="77"/>
      <c r="R42" s="77"/>
      <c r="S42" s="77"/>
      <c r="T42" s="77"/>
      <c r="U42" s="77"/>
      <c r="V42" s="11"/>
      <c r="W42" s="12"/>
    </row>
    <row r="43" ht="25.5" customHeight="1">
      <c r="A43" s="13"/>
      <c r="B43" s="50"/>
      <c r="C43" s="75"/>
      <c r="D43" t="s" s="76">
        <v>244</v>
      </c>
      <c r="E43" s="77"/>
      <c r="F43" s="77"/>
      <c r="G43" s="77"/>
      <c r="H43" s="77"/>
      <c r="I43" s="77"/>
      <c r="J43" s="77"/>
      <c r="K43" s="77"/>
      <c r="L43" s="77"/>
      <c r="M43" s="77"/>
      <c r="N43" s="77"/>
      <c r="O43" s="77"/>
      <c r="P43" s="77"/>
      <c r="Q43" s="77"/>
      <c r="R43" s="77"/>
      <c r="S43" s="77"/>
      <c r="T43" s="77"/>
      <c r="U43" s="77"/>
      <c r="V43" s="11"/>
      <c r="W43" s="12"/>
    </row>
    <row r="44" ht="25.5" customHeight="1">
      <c r="A44" s="13"/>
      <c r="B44" s="50"/>
      <c r="C44" s="75"/>
      <c r="D44" t="s" s="76">
        <v>245</v>
      </c>
      <c r="E44" s="77"/>
      <c r="F44" s="77"/>
      <c r="G44" s="77"/>
      <c r="H44" s="77"/>
      <c r="I44" s="77"/>
      <c r="J44" s="77"/>
      <c r="K44" s="77"/>
      <c r="L44" s="77"/>
      <c r="M44" s="77"/>
      <c r="N44" s="77"/>
      <c r="O44" s="77"/>
      <c r="P44" s="77"/>
      <c r="Q44" s="77"/>
      <c r="R44" s="77"/>
      <c r="S44" s="77"/>
      <c r="T44" s="77"/>
      <c r="U44" s="77"/>
      <c r="V44" s="11"/>
      <c r="W44" s="12"/>
    </row>
    <row r="45" ht="25.5" customHeight="1">
      <c r="A45" s="13"/>
      <c r="B45" s="50"/>
      <c r="C45" s="75"/>
      <c r="D45" t="s" s="76">
        <v>246</v>
      </c>
      <c r="E45" s="77"/>
      <c r="F45" s="77"/>
      <c r="G45" s="77"/>
      <c r="H45" s="77"/>
      <c r="I45" s="77"/>
      <c r="J45" s="77"/>
      <c r="K45" s="77"/>
      <c r="L45" s="77"/>
      <c r="M45" s="77"/>
      <c r="N45" s="77"/>
      <c r="O45" s="77"/>
      <c r="P45" s="77"/>
      <c r="Q45" s="77"/>
      <c r="R45" s="77"/>
      <c r="S45" s="77"/>
      <c r="T45" s="77"/>
      <c r="U45" s="77"/>
      <c r="V45" s="11"/>
      <c r="W45" s="12"/>
    </row>
    <row r="46" ht="25.5" customHeight="1">
      <c r="A46" s="13"/>
      <c r="B46" s="50"/>
      <c r="C46" s="75"/>
      <c r="D46" t="s" s="76">
        <v>247</v>
      </c>
      <c r="E46" s="77"/>
      <c r="F46" s="77"/>
      <c r="G46" s="77"/>
      <c r="H46" s="77"/>
      <c r="I46" s="77"/>
      <c r="J46" s="77"/>
      <c r="K46" s="77"/>
      <c r="L46" s="77"/>
      <c r="M46" s="77"/>
      <c r="N46" s="77"/>
      <c r="O46" s="77"/>
      <c r="P46" s="77"/>
      <c r="Q46" s="77"/>
      <c r="R46" s="77"/>
      <c r="S46" s="77"/>
      <c r="T46" s="77"/>
      <c r="U46" s="77"/>
      <c r="V46" s="11"/>
      <c r="W46" s="12"/>
    </row>
    <row r="47" ht="25.5" customHeight="1">
      <c r="A47" s="13"/>
      <c r="B47" s="50"/>
      <c r="C47" s="79"/>
      <c r="D47" t="s" s="80">
        <v>248</v>
      </c>
      <c r="E47" s="81"/>
      <c r="F47" s="81"/>
      <c r="G47" s="81"/>
      <c r="H47" s="81"/>
      <c r="I47" s="81"/>
      <c r="J47" s="81"/>
      <c r="K47" s="81"/>
      <c r="L47" s="81"/>
      <c r="M47" s="81"/>
      <c r="N47" s="81"/>
      <c r="O47" s="81"/>
      <c r="P47" s="81"/>
      <c r="Q47" s="81"/>
      <c r="R47" s="81"/>
      <c r="S47" s="81"/>
      <c r="T47" s="81"/>
      <c r="U47" s="81"/>
      <c r="V47" s="11"/>
      <c r="W47" s="12"/>
    </row>
    <row r="48" ht="24.95" customHeight="1">
      <c r="A48" s="13"/>
      <c r="B48" s="50"/>
      <c r="C48" t="s" s="239">
        <v>249</v>
      </c>
      <c r="D48" s="240"/>
      <c r="E48" s="240"/>
      <c r="F48" s="240"/>
      <c r="G48" s="240"/>
      <c r="H48" s="240"/>
      <c r="I48" s="240"/>
      <c r="J48" s="240"/>
      <c r="K48" s="240"/>
      <c r="L48" s="240"/>
      <c r="M48" s="240"/>
      <c r="N48" s="240"/>
      <c r="O48" s="240"/>
      <c r="P48" s="240"/>
      <c r="Q48" s="240"/>
      <c r="R48" s="240"/>
      <c r="S48" s="240"/>
      <c r="T48" s="240"/>
      <c r="U48" s="240"/>
      <c r="V48" s="11"/>
      <c r="W48" s="12"/>
    </row>
    <row r="49" ht="25.5" customHeight="1">
      <c r="A49" s="13"/>
      <c r="B49" s="50"/>
      <c r="C49" s="71"/>
      <c r="D49" t="s" s="72">
        <v>250</v>
      </c>
      <c r="E49" s="73"/>
      <c r="F49" s="73"/>
      <c r="G49" s="73"/>
      <c r="H49" s="73"/>
      <c r="I49" s="73"/>
      <c r="J49" s="73"/>
      <c r="K49" s="73"/>
      <c r="L49" s="73"/>
      <c r="M49" s="73"/>
      <c r="N49" s="73"/>
      <c r="O49" s="73"/>
      <c r="P49" s="73"/>
      <c r="Q49" s="73"/>
      <c r="R49" s="73"/>
      <c r="S49" s="73"/>
      <c r="T49" s="73"/>
      <c r="U49" s="73"/>
      <c r="V49" s="11"/>
      <c r="W49" s="12"/>
    </row>
    <row r="50" ht="33.95" customHeight="1">
      <c r="A50" s="13"/>
      <c r="B50" s="50"/>
      <c r="C50" s="75"/>
      <c r="D50" t="s" s="241">
        <v>251</v>
      </c>
      <c r="E50" s="242"/>
      <c r="F50" s="242"/>
      <c r="G50" s="242"/>
      <c r="H50" s="242"/>
      <c r="I50" s="242"/>
      <c r="J50" s="242"/>
      <c r="K50" s="242"/>
      <c r="L50" s="242"/>
      <c r="M50" s="242"/>
      <c r="N50" s="242"/>
      <c r="O50" s="242"/>
      <c r="P50" s="242"/>
      <c r="Q50" s="242"/>
      <c r="R50" s="242"/>
      <c r="S50" s="242"/>
      <c r="T50" s="242"/>
      <c r="U50" s="242"/>
      <c r="V50" s="11"/>
      <c r="W50" s="12"/>
    </row>
    <row r="51" ht="25.5" customHeight="1">
      <c r="A51" s="13"/>
      <c r="B51" s="50"/>
      <c r="C51" s="75"/>
      <c r="D51" t="s" s="76">
        <v>252</v>
      </c>
      <c r="E51" s="77"/>
      <c r="F51" s="77"/>
      <c r="G51" s="77"/>
      <c r="H51" s="77"/>
      <c r="I51" s="77"/>
      <c r="J51" s="77"/>
      <c r="K51" s="77"/>
      <c r="L51" s="77"/>
      <c r="M51" s="77"/>
      <c r="N51" s="77"/>
      <c r="O51" s="77"/>
      <c r="P51" s="77"/>
      <c r="Q51" s="77"/>
      <c r="R51" s="77"/>
      <c r="S51" s="77"/>
      <c r="T51" s="77"/>
      <c r="U51" s="77"/>
      <c r="V51" s="11"/>
      <c r="W51" s="12"/>
    </row>
    <row r="52" ht="25.5" customHeight="1">
      <c r="A52" s="13"/>
      <c r="B52" s="50"/>
      <c r="C52" s="75"/>
      <c r="D52" t="s" s="76">
        <v>245</v>
      </c>
      <c r="E52" s="77"/>
      <c r="F52" s="77"/>
      <c r="G52" s="77"/>
      <c r="H52" s="77"/>
      <c r="I52" s="77"/>
      <c r="J52" s="77"/>
      <c r="K52" s="77"/>
      <c r="L52" s="77"/>
      <c r="M52" s="77"/>
      <c r="N52" s="77"/>
      <c r="O52" s="77"/>
      <c r="P52" s="77"/>
      <c r="Q52" s="77"/>
      <c r="R52" s="77"/>
      <c r="S52" s="77"/>
      <c r="T52" s="77"/>
      <c r="U52" s="77"/>
      <c r="V52" s="11"/>
      <c r="W52" s="12"/>
    </row>
    <row r="53" ht="25.5" customHeight="1">
      <c r="A53" s="13"/>
      <c r="B53" s="50"/>
      <c r="C53" s="79"/>
      <c r="D53" t="s" s="80">
        <v>253</v>
      </c>
      <c r="E53" s="81"/>
      <c r="F53" s="81"/>
      <c r="G53" s="81"/>
      <c r="H53" s="81"/>
      <c r="I53" s="81"/>
      <c r="J53" s="81"/>
      <c r="K53" s="81"/>
      <c r="L53" s="81"/>
      <c r="M53" s="81"/>
      <c r="N53" s="81"/>
      <c r="O53" s="81"/>
      <c r="P53" s="81"/>
      <c r="Q53" s="81"/>
      <c r="R53" s="81"/>
      <c r="S53" s="81"/>
      <c r="T53" s="81"/>
      <c r="U53" s="81"/>
      <c r="V53" s="11"/>
      <c r="W53" s="12"/>
    </row>
    <row r="54" ht="15.75" customHeight="1">
      <c r="A54" s="13"/>
      <c r="B54" s="11"/>
      <c r="C54" s="48"/>
      <c r="D54" s="48"/>
      <c r="E54" s="48"/>
      <c r="F54" s="48"/>
      <c r="G54" s="48"/>
      <c r="H54" s="48"/>
      <c r="I54" s="48"/>
      <c r="J54" s="48"/>
      <c r="K54" s="48"/>
      <c r="L54" s="48"/>
      <c r="M54" s="48"/>
      <c r="N54" s="48"/>
      <c r="O54" s="48"/>
      <c r="P54" s="48"/>
      <c r="Q54" s="48"/>
      <c r="R54" s="48"/>
      <c r="S54" s="48"/>
      <c r="T54" s="48"/>
      <c r="U54" s="48"/>
      <c r="V54" s="11"/>
      <c r="W54" s="12"/>
    </row>
    <row r="55" ht="15.75" customHeight="1">
      <c r="A55" s="13"/>
      <c r="B55" s="11"/>
      <c r="C55" s="40"/>
      <c r="D55" s="40"/>
      <c r="E55" s="40"/>
      <c r="F55" s="40"/>
      <c r="G55" s="40"/>
      <c r="H55" s="40"/>
      <c r="I55" s="40"/>
      <c r="J55" s="40"/>
      <c r="K55" s="40"/>
      <c r="L55" s="40"/>
      <c r="M55" s="40"/>
      <c r="N55" s="40"/>
      <c r="O55" s="40"/>
      <c r="P55" s="40"/>
      <c r="Q55" s="40"/>
      <c r="R55" s="40"/>
      <c r="S55" s="40"/>
      <c r="T55" s="40"/>
      <c r="U55" s="40"/>
      <c r="V55" s="11"/>
      <c r="W55" s="12"/>
    </row>
    <row r="56" ht="24.95" customHeight="1">
      <c r="A56" s="13"/>
      <c r="B56" s="50"/>
      <c r="C56" t="s" s="239">
        <v>234</v>
      </c>
      <c r="D56" s="240"/>
      <c r="E56" s="240"/>
      <c r="F56" s="240"/>
      <c r="G56" s="240"/>
      <c r="H56" s="240"/>
      <c r="I56" s="240"/>
      <c r="J56" s="240"/>
      <c r="K56" s="240"/>
      <c r="L56" s="240"/>
      <c r="M56" s="240"/>
      <c r="N56" s="240"/>
      <c r="O56" s="240"/>
      <c r="P56" s="240"/>
      <c r="Q56" s="240"/>
      <c r="R56" s="240"/>
      <c r="S56" s="240"/>
      <c r="T56" s="240"/>
      <c r="U56" s="240"/>
      <c r="V56" s="11"/>
      <c r="W56" s="12"/>
    </row>
    <row r="57" ht="25.5" customHeight="1">
      <c r="A57" s="13"/>
      <c r="B57" s="50"/>
      <c r="C57" s="71"/>
      <c r="D57" t="s" s="72">
        <v>254</v>
      </c>
      <c r="E57" s="73"/>
      <c r="F57" s="73"/>
      <c r="G57" s="73"/>
      <c r="H57" s="73"/>
      <c r="I57" s="73"/>
      <c r="J57" s="73"/>
      <c r="K57" s="73"/>
      <c r="L57" s="73"/>
      <c r="M57" s="73"/>
      <c r="N57" s="73"/>
      <c r="O57" s="73"/>
      <c r="P57" s="73"/>
      <c r="Q57" s="73"/>
      <c r="R57" s="73"/>
      <c r="S57" s="73"/>
      <c r="T57" s="73"/>
      <c r="U57" s="73"/>
      <c r="V57" s="11"/>
      <c r="W57" s="12"/>
    </row>
    <row r="58" ht="25.5" customHeight="1">
      <c r="A58" s="13"/>
      <c r="B58" s="50"/>
      <c r="C58" s="75"/>
      <c r="D58" t="s" s="76">
        <v>255</v>
      </c>
      <c r="E58" s="77"/>
      <c r="F58" s="77"/>
      <c r="G58" s="77"/>
      <c r="H58" s="77"/>
      <c r="I58" s="77"/>
      <c r="J58" s="77"/>
      <c r="K58" s="77"/>
      <c r="L58" s="77"/>
      <c r="M58" s="77"/>
      <c r="N58" s="77"/>
      <c r="O58" s="77"/>
      <c r="P58" s="77"/>
      <c r="Q58" s="77"/>
      <c r="R58" s="77"/>
      <c r="S58" s="77"/>
      <c r="T58" s="77"/>
      <c r="U58" s="77"/>
      <c r="V58" s="11"/>
      <c r="W58" s="12"/>
    </row>
    <row r="59" ht="25.5" customHeight="1">
      <c r="A59" s="13"/>
      <c r="B59" s="50"/>
      <c r="C59" s="75"/>
      <c r="D59" t="s" s="76">
        <v>256</v>
      </c>
      <c r="E59" s="77"/>
      <c r="F59" s="77"/>
      <c r="G59" s="77"/>
      <c r="H59" s="77"/>
      <c r="I59" s="77"/>
      <c r="J59" s="77"/>
      <c r="K59" s="77"/>
      <c r="L59" s="77"/>
      <c r="M59" s="77"/>
      <c r="N59" s="77"/>
      <c r="O59" s="77"/>
      <c r="P59" s="77"/>
      <c r="Q59" s="77"/>
      <c r="R59" s="77"/>
      <c r="S59" s="77"/>
      <c r="T59" s="77"/>
      <c r="U59" s="77"/>
      <c r="V59" s="11"/>
      <c r="W59" s="12"/>
    </row>
    <row r="60" ht="25.5" customHeight="1">
      <c r="A60" s="13"/>
      <c r="B60" s="50"/>
      <c r="C60" s="75"/>
      <c r="D60" t="s" s="76">
        <v>257</v>
      </c>
      <c r="E60" s="77"/>
      <c r="F60" s="77"/>
      <c r="G60" s="77"/>
      <c r="H60" s="77"/>
      <c r="I60" s="77"/>
      <c r="J60" s="77"/>
      <c r="K60" s="77"/>
      <c r="L60" s="77"/>
      <c r="M60" s="77"/>
      <c r="N60" s="77"/>
      <c r="O60" s="77"/>
      <c r="P60" s="77"/>
      <c r="Q60" s="77"/>
      <c r="R60" s="77"/>
      <c r="S60" s="77"/>
      <c r="T60" s="77"/>
      <c r="U60" s="77"/>
      <c r="V60" s="11"/>
      <c r="W60" s="12"/>
    </row>
    <row r="61" ht="25.5" customHeight="1">
      <c r="A61" s="13"/>
      <c r="B61" s="50"/>
      <c r="C61" s="79"/>
      <c r="D61" t="s" s="80">
        <v>258</v>
      </c>
      <c r="E61" s="81"/>
      <c r="F61" s="81"/>
      <c r="G61" s="81"/>
      <c r="H61" s="81"/>
      <c r="I61" s="81"/>
      <c r="J61" s="81"/>
      <c r="K61" s="81"/>
      <c r="L61" s="81"/>
      <c r="M61" s="81"/>
      <c r="N61" s="81"/>
      <c r="O61" s="81"/>
      <c r="P61" s="81"/>
      <c r="Q61" s="81"/>
      <c r="R61" s="81"/>
      <c r="S61" s="81"/>
      <c r="T61" s="81"/>
      <c r="U61" s="81"/>
      <c r="V61" s="11"/>
      <c r="W61" s="12"/>
    </row>
    <row r="62" ht="24.95" customHeight="1">
      <c r="A62" s="13"/>
      <c r="B62" s="50"/>
      <c r="C62" t="s" s="239">
        <v>259</v>
      </c>
      <c r="D62" s="240"/>
      <c r="E62" s="240"/>
      <c r="F62" s="240"/>
      <c r="G62" s="240"/>
      <c r="H62" s="240"/>
      <c r="I62" s="240"/>
      <c r="J62" s="240"/>
      <c r="K62" s="240"/>
      <c r="L62" s="240"/>
      <c r="M62" s="240"/>
      <c r="N62" s="240"/>
      <c r="O62" s="240"/>
      <c r="P62" s="240"/>
      <c r="Q62" s="240"/>
      <c r="R62" s="240"/>
      <c r="S62" s="240"/>
      <c r="T62" s="240"/>
      <c r="U62" s="240"/>
      <c r="V62" s="11"/>
      <c r="W62" s="12"/>
    </row>
    <row r="63" ht="25.5" customHeight="1">
      <c r="A63" s="13"/>
      <c r="B63" s="50"/>
      <c r="C63" s="71"/>
      <c r="D63" t="s" s="72">
        <v>260</v>
      </c>
      <c r="E63" s="73"/>
      <c r="F63" s="73"/>
      <c r="G63" s="73"/>
      <c r="H63" s="73"/>
      <c r="I63" s="73"/>
      <c r="J63" s="73"/>
      <c r="K63" s="73"/>
      <c r="L63" s="73"/>
      <c r="M63" s="73"/>
      <c r="N63" s="73"/>
      <c r="O63" s="73"/>
      <c r="P63" s="73"/>
      <c r="Q63" s="73"/>
      <c r="R63" s="73"/>
      <c r="S63" s="73"/>
      <c r="T63" s="73"/>
      <c r="U63" s="73"/>
      <c r="V63" s="11"/>
      <c r="W63" s="12"/>
    </row>
    <row r="64" ht="25.5" customHeight="1">
      <c r="A64" s="13"/>
      <c r="B64" s="50"/>
      <c r="C64" s="75"/>
      <c r="D64" t="s" s="76">
        <v>261</v>
      </c>
      <c r="E64" s="77"/>
      <c r="F64" s="77"/>
      <c r="G64" s="77"/>
      <c r="H64" s="77"/>
      <c r="I64" s="77"/>
      <c r="J64" s="77"/>
      <c r="K64" s="77"/>
      <c r="L64" s="77"/>
      <c r="M64" s="77"/>
      <c r="N64" s="77"/>
      <c r="O64" s="77"/>
      <c r="P64" s="77"/>
      <c r="Q64" s="77"/>
      <c r="R64" s="77"/>
      <c r="S64" s="77"/>
      <c r="T64" s="77"/>
      <c r="U64" s="77"/>
      <c r="V64" s="11"/>
      <c r="W64" s="12"/>
    </row>
    <row r="65" ht="25.5" customHeight="1">
      <c r="A65" s="13"/>
      <c r="B65" s="50"/>
      <c r="C65" s="79"/>
      <c r="D65" t="s" s="80">
        <v>262</v>
      </c>
      <c r="E65" s="81"/>
      <c r="F65" s="81"/>
      <c r="G65" s="81"/>
      <c r="H65" s="81"/>
      <c r="I65" s="81"/>
      <c r="J65" s="81"/>
      <c r="K65" s="81"/>
      <c r="L65" s="81"/>
      <c r="M65" s="81"/>
      <c r="N65" s="81"/>
      <c r="O65" s="81"/>
      <c r="P65" s="81"/>
      <c r="Q65" s="81"/>
      <c r="R65" s="81"/>
      <c r="S65" s="81"/>
      <c r="T65" s="81"/>
      <c r="U65" s="81"/>
      <c r="V65" s="11"/>
      <c r="W65" s="12"/>
    </row>
    <row r="66" ht="15.75" customHeight="1">
      <c r="A66" s="13"/>
      <c r="B66" s="11"/>
      <c r="C66" s="48"/>
      <c r="D66" s="48"/>
      <c r="E66" s="48"/>
      <c r="F66" s="48"/>
      <c r="G66" s="48"/>
      <c r="H66" s="48"/>
      <c r="I66" s="48"/>
      <c r="J66" s="48"/>
      <c r="K66" s="48"/>
      <c r="L66" s="48"/>
      <c r="M66" s="48"/>
      <c r="N66" s="48"/>
      <c r="O66" s="48"/>
      <c r="P66" s="48"/>
      <c r="Q66" s="48"/>
      <c r="R66" s="48"/>
      <c r="S66" s="48"/>
      <c r="T66" s="48"/>
      <c r="U66" s="48"/>
      <c r="V66" s="11"/>
      <c r="W66" s="12"/>
    </row>
    <row r="67" ht="15.75" customHeight="1">
      <c r="A67" s="13"/>
      <c r="B67" s="11"/>
      <c r="C67" t="s" s="102">
        <v>119</v>
      </c>
      <c r="D67" s="103"/>
      <c r="E67" s="103"/>
      <c r="F67" s="103"/>
      <c r="G67" s="103"/>
      <c r="H67" s="103"/>
      <c r="I67" s="40"/>
      <c r="J67" s="40"/>
      <c r="K67" s="40"/>
      <c r="L67" s="40"/>
      <c r="M67" s="40"/>
      <c r="N67" s="40"/>
      <c r="O67" s="40"/>
      <c r="P67" s="40"/>
      <c r="Q67" s="40"/>
      <c r="R67" s="40"/>
      <c r="S67" s="40"/>
      <c r="T67" s="40"/>
      <c r="U67" s="40"/>
      <c r="V67" s="11"/>
      <c r="W67" s="12"/>
    </row>
    <row r="68" ht="90" customHeight="1">
      <c r="A68" s="173"/>
      <c r="B68" s="174"/>
      <c r="C68" s="85"/>
      <c r="D68" s="86"/>
      <c r="E68" s="86"/>
      <c r="F68" s="86"/>
      <c r="G68" s="86"/>
      <c r="H68" s="86"/>
      <c r="I68" s="86"/>
      <c r="J68" s="86"/>
      <c r="K68" s="86"/>
      <c r="L68" s="86"/>
      <c r="M68" s="86"/>
      <c r="N68" s="86"/>
      <c r="O68" s="86"/>
      <c r="P68" s="86"/>
      <c r="Q68" s="86"/>
      <c r="R68" s="86"/>
      <c r="S68" s="86"/>
      <c r="T68" s="86"/>
      <c r="U68" s="86"/>
      <c r="V68" s="223"/>
      <c r="W68" s="176"/>
    </row>
  </sheetData>
  <mergeCells count="141">
    <mergeCell ref="C4:U4"/>
    <mergeCell ref="Q5:S5"/>
    <mergeCell ref="T5:U5"/>
    <mergeCell ref="C6:F6"/>
    <mergeCell ref="G6:H6"/>
    <mergeCell ref="C10:U10"/>
    <mergeCell ref="C12:K12"/>
    <mergeCell ref="L12:M12"/>
    <mergeCell ref="N12:O12"/>
    <mergeCell ref="P12:Q12"/>
    <mergeCell ref="R12:S12"/>
    <mergeCell ref="T12:U12"/>
    <mergeCell ref="C8:U8"/>
    <mergeCell ref="T13:U13"/>
    <mergeCell ref="T14:U14"/>
    <mergeCell ref="T15:U15"/>
    <mergeCell ref="R16:S16"/>
    <mergeCell ref="T16:U16"/>
    <mergeCell ref="L16:M16"/>
    <mergeCell ref="N16:O16"/>
    <mergeCell ref="P16:Q16"/>
    <mergeCell ref="N13:O13"/>
    <mergeCell ref="P13:Q13"/>
    <mergeCell ref="R13:S13"/>
    <mergeCell ref="N14:O14"/>
    <mergeCell ref="P14:Q14"/>
    <mergeCell ref="R14:S14"/>
    <mergeCell ref="N15:O15"/>
    <mergeCell ref="P15:Q15"/>
    <mergeCell ref="R15:S15"/>
    <mergeCell ref="D22:K22"/>
    <mergeCell ref="D23:K23"/>
    <mergeCell ref="D24:K24"/>
    <mergeCell ref="D17:K17"/>
    <mergeCell ref="D18:K18"/>
    <mergeCell ref="D19:K19"/>
    <mergeCell ref="D20:K20"/>
    <mergeCell ref="D21:K21"/>
    <mergeCell ref="L13:M13"/>
    <mergeCell ref="L14:M14"/>
    <mergeCell ref="L15:M15"/>
    <mergeCell ref="L18:M18"/>
    <mergeCell ref="L20:M20"/>
    <mergeCell ref="L22:M22"/>
    <mergeCell ref="L24:M24"/>
    <mergeCell ref="D13:K13"/>
    <mergeCell ref="D14:K14"/>
    <mergeCell ref="D15:K15"/>
    <mergeCell ref="D16:K16"/>
    <mergeCell ref="N18:O18"/>
    <mergeCell ref="P18:Q18"/>
    <mergeCell ref="R18:S18"/>
    <mergeCell ref="T18:U18"/>
    <mergeCell ref="L17:M17"/>
    <mergeCell ref="N17:O17"/>
    <mergeCell ref="P17:Q17"/>
    <mergeCell ref="R17:S17"/>
    <mergeCell ref="T17:U17"/>
    <mergeCell ref="N20:O20"/>
    <mergeCell ref="P20:Q20"/>
    <mergeCell ref="R20:S20"/>
    <mergeCell ref="T20:U20"/>
    <mergeCell ref="L19:M19"/>
    <mergeCell ref="N19:O19"/>
    <mergeCell ref="P19:Q19"/>
    <mergeCell ref="R19:S19"/>
    <mergeCell ref="T19:U19"/>
    <mergeCell ref="N22:O22"/>
    <mergeCell ref="P22:Q22"/>
    <mergeCell ref="R22:S22"/>
    <mergeCell ref="T22:U22"/>
    <mergeCell ref="L21:M21"/>
    <mergeCell ref="N21:O21"/>
    <mergeCell ref="P21:Q21"/>
    <mergeCell ref="R21:S21"/>
    <mergeCell ref="T21:U21"/>
    <mergeCell ref="L34:U34"/>
    <mergeCell ref="T35:U35"/>
    <mergeCell ref="T36:U36"/>
    <mergeCell ref="R36:S36"/>
    <mergeCell ref="N24:O24"/>
    <mergeCell ref="P24:Q24"/>
    <mergeCell ref="R24:S24"/>
    <mergeCell ref="T24:U24"/>
    <mergeCell ref="L23:M23"/>
    <mergeCell ref="N23:O23"/>
    <mergeCell ref="P23:Q23"/>
    <mergeCell ref="R23:S23"/>
    <mergeCell ref="T23:U23"/>
    <mergeCell ref="C30:U30"/>
    <mergeCell ref="L32:M32"/>
    <mergeCell ref="N32:O32"/>
    <mergeCell ref="Q32:S32"/>
    <mergeCell ref="T32:U32"/>
    <mergeCell ref="T26:U26"/>
    <mergeCell ref="L27:M27"/>
    <mergeCell ref="N27:O27"/>
    <mergeCell ref="P27:Q27"/>
    <mergeCell ref="R27:S27"/>
    <mergeCell ref="T27:U27"/>
    <mergeCell ref="C26:K26"/>
    <mergeCell ref="L26:M26"/>
    <mergeCell ref="N26:O26"/>
    <mergeCell ref="P26:Q26"/>
    <mergeCell ref="R26:S26"/>
    <mergeCell ref="D27:K27"/>
    <mergeCell ref="C29:H29"/>
    <mergeCell ref="C68:U68"/>
    <mergeCell ref="D41:U41"/>
    <mergeCell ref="D42:U42"/>
    <mergeCell ref="D43:U43"/>
    <mergeCell ref="D44:U44"/>
    <mergeCell ref="D45:U45"/>
    <mergeCell ref="D46:U46"/>
    <mergeCell ref="D47:U47"/>
    <mergeCell ref="C48:U48"/>
    <mergeCell ref="D49:U49"/>
    <mergeCell ref="D50:U50"/>
    <mergeCell ref="D51:U51"/>
    <mergeCell ref="D53:U53"/>
    <mergeCell ref="C56:U56"/>
    <mergeCell ref="D57:U57"/>
    <mergeCell ref="D58:U58"/>
    <mergeCell ref="D65:U65"/>
    <mergeCell ref="D59:U59"/>
    <mergeCell ref="D60:U60"/>
    <mergeCell ref="C67:H67"/>
    <mergeCell ref="D52:U52"/>
    <mergeCell ref="D61:U61"/>
    <mergeCell ref="C62:U62"/>
    <mergeCell ref="D63:U63"/>
    <mergeCell ref="D64:U64"/>
    <mergeCell ref="R35:S35"/>
    <mergeCell ref="P35:Q35"/>
    <mergeCell ref="P36:Q36"/>
    <mergeCell ref="N36:O36"/>
    <mergeCell ref="N35:O35"/>
    <mergeCell ref="L35:M35"/>
    <mergeCell ref="L36:M36"/>
    <mergeCell ref="C38:H38"/>
    <mergeCell ref="C40:U40"/>
  </mergeCells>
  <pageMargins left="0.59" right="0.59" top="0.629921" bottom="0.98" header="0.51" footer="0.51"/>
  <pageSetup firstPageNumber="1" fitToHeight="1" fitToWidth="1" scale="74" useFirstPageNumber="0" orientation="portrait" pageOrder="downThenOver"/>
  <drawing r:id="rId1"/>
  <legacyDrawing r:id="rId2"/>
</worksheet>
</file>

<file path=xl/worksheets/sheet7.xml><?xml version="1.0" encoding="utf-8"?>
<worksheet xmlns:r="http://schemas.openxmlformats.org/officeDocument/2006/relationships" xmlns="http://schemas.openxmlformats.org/spreadsheetml/2006/main">
  <dimension ref="A1:Z83"/>
  <sheetViews>
    <sheetView workbookViewId="0" showGridLines="0" defaultGridColor="1"/>
  </sheetViews>
  <sheetFormatPr defaultColWidth="5.83333" defaultRowHeight="15.75" customHeight="1" outlineLevelRow="0" outlineLevelCol="0"/>
  <cols>
    <col min="1" max="21" width="5.85156" style="243" customWidth="1"/>
    <col min="22" max="24" hidden="1" width="5.83333" style="243" customWidth="1"/>
    <col min="25" max="26" width="5.85156" style="243" customWidth="1"/>
    <col min="27" max="16384" width="5.85156" style="243" customWidth="1"/>
  </cols>
  <sheetData>
    <row r="1" ht="15.75" customHeight="1">
      <c r="A1" s="7"/>
      <c r="B1" s="8"/>
      <c r="C1" s="8"/>
      <c r="D1" s="8"/>
      <c r="E1" s="8"/>
      <c r="F1" s="8"/>
      <c r="G1" s="8"/>
      <c r="H1" s="8"/>
      <c r="I1" s="8"/>
      <c r="J1" s="8"/>
      <c r="K1" s="8"/>
      <c r="L1" s="8"/>
      <c r="M1" s="8"/>
      <c r="N1" s="8"/>
      <c r="O1" s="8"/>
      <c r="P1" s="8"/>
      <c r="Q1" s="8"/>
      <c r="R1" s="8"/>
      <c r="S1" s="8"/>
      <c r="T1" s="8"/>
      <c r="U1" s="8"/>
      <c r="V1" s="8"/>
      <c r="W1" s="8"/>
      <c r="X1" s="8"/>
      <c r="Y1" s="8"/>
      <c r="Z1" s="9"/>
    </row>
    <row r="2" ht="15.75" customHeight="1">
      <c r="A2" t="s" s="10">
        <v>6</v>
      </c>
      <c r="B2" s="11"/>
      <c r="C2" s="11"/>
      <c r="D2" s="11"/>
      <c r="E2" s="11"/>
      <c r="F2" s="11"/>
      <c r="G2" s="11"/>
      <c r="H2" s="11"/>
      <c r="I2" s="11"/>
      <c r="J2" s="11"/>
      <c r="K2" s="11"/>
      <c r="L2" s="11"/>
      <c r="M2" s="11"/>
      <c r="N2" s="11"/>
      <c r="O2" s="11"/>
      <c r="P2" s="11"/>
      <c r="Q2" s="11"/>
      <c r="R2" s="11"/>
      <c r="S2" s="11"/>
      <c r="T2" s="11"/>
      <c r="U2" s="11"/>
      <c r="V2" s="11"/>
      <c r="W2" s="11"/>
      <c r="X2" s="11"/>
      <c r="Y2" s="11"/>
      <c r="Z2" s="12"/>
    </row>
    <row r="3" ht="15.75" customHeight="1">
      <c r="A3" s="13"/>
      <c r="B3" s="11"/>
      <c r="C3" s="14"/>
      <c r="D3" s="14"/>
      <c r="E3" s="14"/>
      <c r="F3" s="14"/>
      <c r="G3" s="14"/>
      <c r="H3" s="14"/>
      <c r="I3" s="14"/>
      <c r="J3" s="14"/>
      <c r="K3" s="14"/>
      <c r="L3" s="14"/>
      <c r="M3" s="14"/>
      <c r="N3" s="14"/>
      <c r="O3" s="14"/>
      <c r="P3" s="14"/>
      <c r="Q3" s="14"/>
      <c r="R3" s="14"/>
      <c r="S3" s="14"/>
      <c r="T3" s="14"/>
      <c r="U3" s="14"/>
      <c r="V3" s="11"/>
      <c r="W3" s="11"/>
      <c r="X3" s="11"/>
      <c r="Y3" s="11"/>
      <c r="Z3" s="12"/>
    </row>
    <row r="4" ht="18.75" customHeight="1">
      <c r="A4" s="13"/>
      <c r="B4" s="15"/>
      <c r="C4" t="s" s="16">
        <v>7</v>
      </c>
      <c r="D4" s="17"/>
      <c r="E4" s="17"/>
      <c r="F4" s="17"/>
      <c r="G4" s="17"/>
      <c r="H4" s="17"/>
      <c r="I4" s="17"/>
      <c r="J4" s="17"/>
      <c r="K4" s="17"/>
      <c r="L4" s="17"/>
      <c r="M4" s="17"/>
      <c r="N4" s="17"/>
      <c r="O4" s="17"/>
      <c r="P4" s="17"/>
      <c r="Q4" s="17"/>
      <c r="R4" s="17"/>
      <c r="S4" s="17"/>
      <c r="T4" s="17"/>
      <c r="U4" s="17"/>
      <c r="V4" s="178"/>
      <c r="W4" s="178"/>
      <c r="X4" s="178"/>
      <c r="Y4" s="11"/>
      <c r="Z4" s="12"/>
    </row>
    <row r="5"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8"/>
      <c r="V5" s="179"/>
      <c r="W5" s="179"/>
      <c r="X5" s="179"/>
      <c r="Y5" s="11"/>
      <c r="Z5" s="12"/>
    </row>
    <row r="6" ht="18" customHeight="1">
      <c r="A6" s="20"/>
      <c r="B6" s="21"/>
      <c r="C6" t="s" s="30">
        <v>11</v>
      </c>
      <c r="D6" s="31"/>
      <c r="E6" s="31"/>
      <c r="F6" s="31"/>
      <c r="G6" s="32">
        <f>'Kap. 1, 2, 3'!G6:H6</f>
      </c>
      <c r="H6" s="32"/>
      <c r="I6" s="33"/>
      <c r="J6" s="33"/>
      <c r="K6" s="33"/>
      <c r="L6" s="33"/>
      <c r="M6" s="33"/>
      <c r="N6" s="33"/>
      <c r="O6" s="33"/>
      <c r="P6" s="33"/>
      <c r="Q6" s="33"/>
      <c r="R6" s="33"/>
      <c r="S6" s="33"/>
      <c r="T6" s="33"/>
      <c r="U6" s="33"/>
      <c r="V6" s="179"/>
      <c r="W6" s="179"/>
      <c r="X6" s="179"/>
      <c r="Y6" s="11"/>
      <c r="Z6" s="12"/>
    </row>
    <row r="7" ht="15.75" customHeight="1">
      <c r="A7" s="13"/>
      <c r="B7" s="11"/>
      <c r="C7" s="35"/>
      <c r="D7" s="35"/>
      <c r="E7" s="35"/>
      <c r="F7" s="35"/>
      <c r="G7" s="35"/>
      <c r="H7" s="35"/>
      <c r="I7" s="35"/>
      <c r="J7" s="35"/>
      <c r="K7" s="35"/>
      <c r="L7" s="35"/>
      <c r="M7" s="35"/>
      <c r="N7" s="35"/>
      <c r="O7" s="35"/>
      <c r="P7" s="35"/>
      <c r="Q7" s="35"/>
      <c r="R7" s="35"/>
      <c r="S7" s="35"/>
      <c r="T7" s="35"/>
      <c r="U7" s="35"/>
      <c r="V7" s="11"/>
      <c r="W7" s="11"/>
      <c r="X7" s="11"/>
      <c r="Y7" s="11"/>
      <c r="Z7" s="12"/>
    </row>
    <row r="8" ht="21" customHeight="1">
      <c r="A8" s="13"/>
      <c r="B8" s="11"/>
      <c r="C8" t="s" s="38">
        <v>105</v>
      </c>
      <c r="D8" s="39"/>
      <c r="E8" s="39"/>
      <c r="F8" s="39"/>
      <c r="G8" s="39"/>
      <c r="H8" s="39"/>
      <c r="I8" s="39"/>
      <c r="J8" s="39"/>
      <c r="K8" s="39"/>
      <c r="L8" s="39"/>
      <c r="M8" s="39"/>
      <c r="N8" s="39"/>
      <c r="O8" s="39"/>
      <c r="P8" s="39"/>
      <c r="Q8" s="39"/>
      <c r="R8" s="39"/>
      <c r="S8" s="39"/>
      <c r="T8" s="39"/>
      <c r="U8" s="39"/>
      <c r="V8" s="11"/>
      <c r="W8" s="11"/>
      <c r="X8" s="11"/>
      <c r="Y8" s="11"/>
      <c r="Z8" s="12"/>
    </row>
    <row r="9" ht="15.75" customHeight="1">
      <c r="A9" s="13"/>
      <c r="B9" s="11"/>
      <c r="C9" s="14"/>
      <c r="D9" s="14"/>
      <c r="E9" s="14"/>
      <c r="F9" s="14"/>
      <c r="G9" s="14"/>
      <c r="H9" s="14"/>
      <c r="I9" s="14"/>
      <c r="J9" s="14"/>
      <c r="K9" s="14"/>
      <c r="L9" s="14"/>
      <c r="M9" s="14"/>
      <c r="N9" s="14"/>
      <c r="O9" s="14"/>
      <c r="P9" s="14"/>
      <c r="Q9" s="14"/>
      <c r="R9" s="14"/>
      <c r="S9" s="14"/>
      <c r="T9" s="14"/>
      <c r="U9" s="14"/>
      <c r="V9" s="11"/>
      <c r="W9" s="11"/>
      <c r="X9" s="11"/>
      <c r="Y9" s="11"/>
      <c r="Z9" s="12"/>
    </row>
    <row r="10" ht="37.5" customHeight="1">
      <c r="A10" s="13"/>
      <c r="B10" s="15"/>
      <c r="C10" t="s" s="244">
        <v>264</v>
      </c>
      <c r="D10" s="245"/>
      <c r="E10" s="245"/>
      <c r="F10" s="245"/>
      <c r="G10" s="245"/>
      <c r="H10" s="245"/>
      <c r="I10" s="245"/>
      <c r="J10" s="245"/>
      <c r="K10" s="245"/>
      <c r="L10" s="245"/>
      <c r="M10" s="245"/>
      <c r="N10" s="245"/>
      <c r="O10" s="245"/>
      <c r="P10" s="245"/>
      <c r="Q10" s="245"/>
      <c r="R10" s="245"/>
      <c r="S10" s="245"/>
      <c r="T10" s="245"/>
      <c r="U10" s="245"/>
      <c r="V10" s="11"/>
      <c r="W10" s="11"/>
      <c r="X10" s="11"/>
      <c r="Y10" s="11"/>
      <c r="Z10" s="12"/>
    </row>
    <row r="11" ht="15.75" customHeight="1">
      <c r="A11" s="13"/>
      <c r="B11" s="11"/>
      <c r="C11" s="182"/>
      <c r="D11" s="182"/>
      <c r="E11" s="182"/>
      <c r="F11" s="182"/>
      <c r="G11" s="182"/>
      <c r="H11" s="182"/>
      <c r="I11" s="182"/>
      <c r="J11" s="182"/>
      <c r="K11" s="182"/>
      <c r="L11" s="182"/>
      <c r="M11" s="182"/>
      <c r="N11" s="182"/>
      <c r="O11" s="182"/>
      <c r="P11" s="182"/>
      <c r="Q11" s="182"/>
      <c r="R11" s="182"/>
      <c r="S11" s="182"/>
      <c r="T11" s="182"/>
      <c r="U11" s="182"/>
      <c r="V11" s="11"/>
      <c r="W11" s="11"/>
      <c r="X11" s="11"/>
      <c r="Y11" s="11"/>
      <c r="Z11" s="12"/>
    </row>
    <row r="12" ht="19.5" customHeight="1">
      <c r="A12" s="13"/>
      <c r="B12" s="15"/>
      <c r="C12" t="s" s="246">
        <v>107</v>
      </c>
      <c r="D12" s="247"/>
      <c r="E12" s="247"/>
      <c r="F12" s="247"/>
      <c r="G12" s="247"/>
      <c r="H12" s="247"/>
      <c r="I12" s="247"/>
      <c r="J12" s="247"/>
      <c r="K12" s="248"/>
      <c r="L12" t="s" s="249">
        <v>265</v>
      </c>
      <c r="M12" s="250"/>
      <c r="N12" t="s" s="249">
        <v>108</v>
      </c>
      <c r="O12" s="251"/>
      <c r="P12" t="s" s="192">
        <v>266</v>
      </c>
      <c r="Q12" s="252"/>
      <c r="R12" s="252"/>
      <c r="S12" s="252"/>
      <c r="T12" s="252"/>
      <c r="U12" s="252"/>
      <c r="V12" s="11"/>
      <c r="W12" s="11"/>
      <c r="X12" s="11"/>
      <c r="Y12" s="11"/>
      <c r="Z12" s="12"/>
    </row>
    <row r="13" ht="22.5" customHeight="1">
      <c r="A13" s="13"/>
      <c r="B13" s="15"/>
      <c r="C13" s="253"/>
      <c r="D13" s="254"/>
      <c r="E13" s="254"/>
      <c r="F13" s="254"/>
      <c r="G13" s="254"/>
      <c r="H13" s="254"/>
      <c r="I13" s="254"/>
      <c r="J13" s="254"/>
      <c r="K13" s="255"/>
      <c r="L13" s="256"/>
      <c r="M13" s="257"/>
      <c r="N13" s="258"/>
      <c r="O13" s="259"/>
      <c r="P13" t="s" s="192">
        <v>267</v>
      </c>
      <c r="Q13" s="193"/>
      <c r="R13" t="s" s="192">
        <v>268</v>
      </c>
      <c r="S13" s="193"/>
      <c r="T13" t="s" s="260">
        <v>269</v>
      </c>
      <c r="U13" s="261"/>
      <c r="V13" s="11"/>
      <c r="W13" s="11"/>
      <c r="X13" s="11"/>
      <c r="Y13" s="11"/>
      <c r="Z13" s="12"/>
    </row>
    <row r="14" ht="25.5" customHeight="1">
      <c r="A14" t="s" s="95">
        <v>270</v>
      </c>
      <c r="B14" s="196">
        <v>1</v>
      </c>
      <c r="C14" t="s" s="197">
        <f>CONCATENATE(A14,B14)</f>
        <v>271</v>
      </c>
      <c r="D14" t="s" s="198">
        <v>272</v>
      </c>
      <c r="E14" s="199"/>
      <c r="F14" s="199"/>
      <c r="G14" s="199"/>
      <c r="H14" s="199"/>
      <c r="I14" s="199"/>
      <c r="J14" s="199"/>
      <c r="K14" s="200"/>
      <c r="L14" s="262"/>
      <c r="M14" s="263"/>
      <c r="N14" s="262"/>
      <c r="O14" s="263"/>
      <c r="P14" s="264"/>
      <c r="Q14" s="265"/>
      <c r="R14" s="264"/>
      <c r="S14" s="265"/>
      <c r="T14" s="264"/>
      <c r="U14" s="266"/>
      <c r="V14" t="b" s="96">
        <v>0</v>
      </c>
      <c r="W14" t="b" s="96">
        <v>0</v>
      </c>
      <c r="X14" s="96">
        <f>IF(OR(V14=TRUE,W14=TRUE),0,1)</f>
        <v>1</v>
      </c>
      <c r="Y14" s="11"/>
      <c r="Z14" s="12"/>
    </row>
    <row r="15" ht="25.5" customHeight="1">
      <c r="A15" t="s" s="95">
        <v>270</v>
      </c>
      <c r="B15" s="196">
        <v>2</v>
      </c>
      <c r="C15" t="s" s="197">
        <f>CONCATENATE(A15,B15)</f>
        <v>273</v>
      </c>
      <c r="D15" t="s" s="198">
        <v>274</v>
      </c>
      <c r="E15" s="199"/>
      <c r="F15" s="199"/>
      <c r="G15" s="199"/>
      <c r="H15" s="199"/>
      <c r="I15" s="199"/>
      <c r="J15" s="199"/>
      <c r="K15" s="200"/>
      <c r="L15" s="262"/>
      <c r="M15" s="263"/>
      <c r="N15" s="262"/>
      <c r="O15" s="263"/>
      <c r="P15" s="264"/>
      <c r="Q15" s="265"/>
      <c r="R15" s="264"/>
      <c r="S15" s="265"/>
      <c r="T15" s="264"/>
      <c r="U15" s="266"/>
      <c r="V15" t="b" s="96">
        <v>0</v>
      </c>
      <c r="W15" t="b" s="96">
        <v>0</v>
      </c>
      <c r="X15" s="96">
        <f>IF(OR(V15=TRUE,W15=TRUE),0,1)</f>
        <v>1</v>
      </c>
      <c r="Y15" s="11"/>
      <c r="Z15" s="12"/>
    </row>
    <row r="16" ht="25.5" customHeight="1">
      <c r="A16" t="s" s="95">
        <v>270</v>
      </c>
      <c r="B16" s="196">
        <v>3</v>
      </c>
      <c r="C16" t="s" s="197">
        <f>CONCATENATE(A16,B16)</f>
        <v>275</v>
      </c>
      <c r="D16" t="s" s="198">
        <v>276</v>
      </c>
      <c r="E16" s="199"/>
      <c r="F16" s="199"/>
      <c r="G16" s="199"/>
      <c r="H16" s="199"/>
      <c r="I16" s="199"/>
      <c r="J16" s="199"/>
      <c r="K16" s="200"/>
      <c r="L16" s="262"/>
      <c r="M16" s="263"/>
      <c r="N16" s="262"/>
      <c r="O16" s="263"/>
      <c r="P16" s="264"/>
      <c r="Q16" s="265"/>
      <c r="R16" s="264"/>
      <c r="S16" s="265"/>
      <c r="T16" s="264"/>
      <c r="U16" s="266"/>
      <c r="V16" t="b" s="96">
        <v>0</v>
      </c>
      <c r="W16" t="b" s="96">
        <v>0</v>
      </c>
      <c r="X16" s="96">
        <f>IF(OR(V16=TRUE,W16=TRUE),0,1)</f>
        <v>1</v>
      </c>
      <c r="Y16" s="11"/>
      <c r="Z16" s="12"/>
    </row>
    <row r="17" ht="25.5" customHeight="1">
      <c r="A17" t="s" s="95">
        <v>270</v>
      </c>
      <c r="B17" s="196">
        <v>4</v>
      </c>
      <c r="C17" t="s" s="197">
        <f>CONCATENATE(A17,B17)</f>
        <v>277</v>
      </c>
      <c r="D17" t="s" s="198">
        <v>278</v>
      </c>
      <c r="E17" s="199"/>
      <c r="F17" s="199"/>
      <c r="G17" s="199"/>
      <c r="H17" s="199"/>
      <c r="I17" s="199"/>
      <c r="J17" s="199"/>
      <c r="K17" s="200"/>
      <c r="L17" s="262"/>
      <c r="M17" s="263"/>
      <c r="N17" s="262"/>
      <c r="O17" s="263"/>
      <c r="P17" s="264"/>
      <c r="Q17" s="265"/>
      <c r="R17" s="264"/>
      <c r="S17" s="265"/>
      <c r="T17" s="264"/>
      <c r="U17" s="266"/>
      <c r="V17" t="b" s="96">
        <v>0</v>
      </c>
      <c r="W17" t="b" s="96">
        <v>0</v>
      </c>
      <c r="X17" s="96">
        <f>IF(OR(V17=TRUE,W17=TRUE),0,1)</f>
        <v>1</v>
      </c>
      <c r="Y17" s="11"/>
      <c r="Z17" s="12"/>
    </row>
    <row r="18" ht="25.5" customHeight="1">
      <c r="A18" t="s" s="95">
        <v>270</v>
      </c>
      <c r="B18" s="196">
        <v>5</v>
      </c>
      <c r="C18" t="s" s="197">
        <f>CONCATENATE(A18,B18)</f>
        <v>279</v>
      </c>
      <c r="D18" t="s" s="198">
        <v>280</v>
      </c>
      <c r="E18" s="199"/>
      <c r="F18" s="199"/>
      <c r="G18" s="199"/>
      <c r="H18" s="199"/>
      <c r="I18" s="199"/>
      <c r="J18" s="199"/>
      <c r="K18" s="200"/>
      <c r="L18" s="262"/>
      <c r="M18" s="263"/>
      <c r="N18" s="262"/>
      <c r="O18" s="263"/>
      <c r="P18" s="264"/>
      <c r="Q18" s="265"/>
      <c r="R18" s="264"/>
      <c r="S18" s="265"/>
      <c r="T18" s="264"/>
      <c r="U18" s="266"/>
      <c r="V18" t="b" s="96">
        <v>0</v>
      </c>
      <c r="W18" t="b" s="96">
        <v>0</v>
      </c>
      <c r="X18" s="96">
        <f>IF(OR(V18=TRUE,W18=TRUE),0,1)</f>
        <v>1</v>
      </c>
      <c r="Y18" s="11"/>
      <c r="Z18" s="12"/>
    </row>
    <row r="19" ht="25.5" customHeight="1">
      <c r="A19" t="s" s="95">
        <v>270</v>
      </c>
      <c r="B19" s="196">
        <v>6</v>
      </c>
      <c r="C19" t="s" s="197">
        <f>CONCATENATE(A19,B19)</f>
        <v>281</v>
      </c>
      <c r="D19" t="s" s="198">
        <v>282</v>
      </c>
      <c r="E19" s="199"/>
      <c r="F19" s="199"/>
      <c r="G19" s="199"/>
      <c r="H19" s="199"/>
      <c r="I19" s="199"/>
      <c r="J19" s="199"/>
      <c r="K19" s="200"/>
      <c r="L19" s="262"/>
      <c r="M19" s="263"/>
      <c r="N19" s="262"/>
      <c r="O19" s="263"/>
      <c r="P19" s="264"/>
      <c r="Q19" s="265"/>
      <c r="R19" s="264"/>
      <c r="S19" s="265"/>
      <c r="T19" s="264"/>
      <c r="U19" s="266"/>
      <c r="V19" t="b" s="96">
        <v>0</v>
      </c>
      <c r="W19" t="b" s="96">
        <v>0</v>
      </c>
      <c r="X19" s="96">
        <f>IF(OR(V19=TRUE,W19=TRUE),0,1)</f>
        <v>1</v>
      </c>
      <c r="Y19" s="11"/>
      <c r="Z19" s="12"/>
    </row>
    <row r="20" ht="25.5" customHeight="1">
      <c r="A20" t="s" s="95">
        <v>270</v>
      </c>
      <c r="B20" s="196">
        <v>7</v>
      </c>
      <c r="C20" t="s" s="197">
        <f>CONCATENATE(A20,B20)</f>
        <v>283</v>
      </c>
      <c r="D20" t="s" s="198">
        <v>284</v>
      </c>
      <c r="E20" s="199"/>
      <c r="F20" s="199"/>
      <c r="G20" s="199"/>
      <c r="H20" s="199"/>
      <c r="I20" s="199"/>
      <c r="J20" s="199"/>
      <c r="K20" s="200"/>
      <c r="L20" s="262"/>
      <c r="M20" s="263"/>
      <c r="N20" s="262"/>
      <c r="O20" s="263"/>
      <c r="P20" s="264"/>
      <c r="Q20" s="265"/>
      <c r="R20" s="264"/>
      <c r="S20" s="265"/>
      <c r="T20" s="264"/>
      <c r="U20" s="266"/>
      <c r="V20" t="b" s="96">
        <v>0</v>
      </c>
      <c r="W20" t="b" s="96">
        <v>0</v>
      </c>
      <c r="X20" s="96">
        <f>IF(OR(V20=TRUE,W20=TRUE),0,1)</f>
        <v>1</v>
      </c>
      <c r="Y20" s="11"/>
      <c r="Z20" s="12"/>
    </row>
    <row r="21" ht="15.75" customHeight="1">
      <c r="A21" s="13"/>
      <c r="B21" s="11"/>
      <c r="C21" s="35"/>
      <c r="D21" s="35"/>
      <c r="E21" s="35"/>
      <c r="F21" s="35"/>
      <c r="G21" s="35"/>
      <c r="H21" s="35"/>
      <c r="I21" s="35"/>
      <c r="J21" s="35"/>
      <c r="K21" s="35"/>
      <c r="L21" s="35"/>
      <c r="M21" s="35"/>
      <c r="N21" s="182"/>
      <c r="O21" s="182"/>
      <c r="P21" s="35"/>
      <c r="Q21" s="35"/>
      <c r="R21" s="35"/>
      <c r="S21" s="35"/>
      <c r="T21" s="182"/>
      <c r="U21" s="182"/>
      <c r="V21" s="11"/>
      <c r="W21" s="11"/>
      <c r="X21" s="11"/>
      <c r="Y21" s="11"/>
      <c r="Z21" s="12"/>
    </row>
    <row r="22" ht="15.75" customHeight="1">
      <c r="A22" s="13"/>
      <c r="B22" s="11"/>
      <c r="C22" s="11"/>
      <c r="D22" s="11"/>
      <c r="E22" s="11"/>
      <c r="F22" s="11"/>
      <c r="G22" s="11"/>
      <c r="H22" s="11"/>
      <c r="I22" s="11"/>
      <c r="J22" s="11"/>
      <c r="K22" s="11"/>
      <c r="L22" t="s" s="208">
        <v>122</v>
      </c>
      <c r="M22" s="209"/>
      <c r="N22" s="267">
        <f>(P14*$X$14+P15*$X$15+P16*$X$16+P17*$X$17+P18*$X$18+P19*$X$19+P20*$X$20)+(R14*$X$14+R15*$X$15+R16*$X$16+R17*$X$17+R18*$X$18+R19*$X$19+R20*$X$20)/7+(T14*$X$14+T15*$X$15+T16*$X$16+T17*$X$17+T18*$X$18+T19*$X$19+T20*$X$20)/30</f>
        <v>0</v>
      </c>
      <c r="O22" s="268"/>
      <c r="P22" s="19"/>
      <c r="Q22" t="s" s="208">
        <v>123</v>
      </c>
      <c r="R22" s="212"/>
      <c r="S22" s="209"/>
      <c r="T22" s="269">
        <f>IF($N$22&lt;1,0,IF(AND($N$22&gt;=1,$N$22&lt;4),1,IF(AND($N$22&gt;=4,$N$22&lt;=8),2,IF($N$22&gt;8,3,"Fehler"))))</f>
        <v>0</v>
      </c>
      <c r="U22" s="270"/>
      <c r="V22" s="11"/>
      <c r="W22" s="11"/>
      <c r="X22" s="11"/>
      <c r="Y22" s="11"/>
      <c r="Z22" s="12"/>
    </row>
    <row r="23" ht="15.75" customHeight="1">
      <c r="A23" s="13"/>
      <c r="B23" s="11"/>
      <c r="C23" s="14"/>
      <c r="D23" s="14"/>
      <c r="E23" s="14"/>
      <c r="F23" s="14"/>
      <c r="G23" s="14"/>
      <c r="H23" s="14"/>
      <c r="I23" s="14"/>
      <c r="J23" s="14"/>
      <c r="K23" s="14"/>
      <c r="L23" s="14"/>
      <c r="M23" s="14"/>
      <c r="N23" s="182"/>
      <c r="O23" s="182"/>
      <c r="P23" s="14"/>
      <c r="Q23" s="14"/>
      <c r="R23" s="14"/>
      <c r="S23" s="14"/>
      <c r="T23" s="182"/>
      <c r="U23" s="182"/>
      <c r="V23" s="11"/>
      <c r="W23" s="11"/>
      <c r="X23" s="11"/>
      <c r="Y23" s="11"/>
      <c r="Z23" s="12"/>
    </row>
    <row r="24" ht="19.5" customHeight="1">
      <c r="A24" s="13"/>
      <c r="B24" s="15"/>
      <c r="C24" t="s" s="246">
        <v>107</v>
      </c>
      <c r="D24" s="247"/>
      <c r="E24" s="247"/>
      <c r="F24" s="247"/>
      <c r="G24" s="247"/>
      <c r="H24" s="247"/>
      <c r="I24" s="247"/>
      <c r="J24" s="247"/>
      <c r="K24" s="248"/>
      <c r="L24" t="s" s="249">
        <v>265</v>
      </c>
      <c r="M24" s="250"/>
      <c r="N24" t="s" s="249">
        <v>108</v>
      </c>
      <c r="O24" s="251"/>
      <c r="P24" t="s" s="192">
        <v>266</v>
      </c>
      <c r="Q24" s="252"/>
      <c r="R24" s="252"/>
      <c r="S24" s="252"/>
      <c r="T24" s="252"/>
      <c r="U24" s="252"/>
      <c r="V24" s="11"/>
      <c r="W24" s="11"/>
      <c r="X24" s="11"/>
      <c r="Y24" s="11"/>
      <c r="Z24" s="12"/>
    </row>
    <row r="25" ht="22.5" customHeight="1">
      <c r="A25" s="13"/>
      <c r="B25" s="15"/>
      <c r="C25" s="253"/>
      <c r="D25" s="254"/>
      <c r="E25" s="254"/>
      <c r="F25" s="254"/>
      <c r="G25" s="254"/>
      <c r="H25" s="254"/>
      <c r="I25" s="254"/>
      <c r="J25" s="254"/>
      <c r="K25" s="255"/>
      <c r="L25" s="256"/>
      <c r="M25" s="257"/>
      <c r="N25" s="258"/>
      <c r="O25" s="259"/>
      <c r="P25" t="s" s="192">
        <v>267</v>
      </c>
      <c r="Q25" s="193"/>
      <c r="R25" t="s" s="192">
        <v>268</v>
      </c>
      <c r="S25" s="193"/>
      <c r="T25" t="s" s="260">
        <v>269</v>
      </c>
      <c r="U25" s="261"/>
      <c r="V25" s="11"/>
      <c r="W25" s="11"/>
      <c r="X25" s="11"/>
      <c r="Y25" s="11"/>
      <c r="Z25" s="12"/>
    </row>
    <row r="26" ht="25.5" customHeight="1">
      <c r="A26" t="s" s="95">
        <v>270</v>
      </c>
      <c r="B26" s="196">
        <v>8</v>
      </c>
      <c r="C26" t="s" s="197">
        <f>CONCATENATE(A26,B26)</f>
        <v>285</v>
      </c>
      <c r="D26" t="s" s="198">
        <v>286</v>
      </c>
      <c r="E26" s="199"/>
      <c r="F26" s="199"/>
      <c r="G26" s="199"/>
      <c r="H26" s="199"/>
      <c r="I26" s="199"/>
      <c r="J26" s="199"/>
      <c r="K26" s="200"/>
      <c r="L26" s="262"/>
      <c r="M26" s="263"/>
      <c r="N26" s="262"/>
      <c r="O26" s="263"/>
      <c r="P26" s="264"/>
      <c r="Q26" s="265"/>
      <c r="R26" s="264"/>
      <c r="S26" s="265"/>
      <c r="T26" s="264"/>
      <c r="U26" s="266"/>
      <c r="V26" t="b" s="96">
        <v>0</v>
      </c>
      <c r="W26" t="b" s="96">
        <v>0</v>
      </c>
      <c r="X26" s="96">
        <f>IF(OR(V26=TRUE,W26=TRUE),0,1)</f>
        <v>1</v>
      </c>
      <c r="Y26" s="11"/>
      <c r="Z26" s="12"/>
    </row>
    <row r="27" ht="25.5" customHeight="1">
      <c r="A27" t="s" s="95">
        <v>270</v>
      </c>
      <c r="B27" s="196">
        <v>9</v>
      </c>
      <c r="C27" t="s" s="197">
        <f>CONCATENATE(A27,B27)</f>
        <v>287</v>
      </c>
      <c r="D27" t="s" s="198">
        <v>288</v>
      </c>
      <c r="E27" s="199"/>
      <c r="F27" s="199"/>
      <c r="G27" s="199"/>
      <c r="H27" s="199"/>
      <c r="I27" s="199"/>
      <c r="J27" s="199"/>
      <c r="K27" s="200"/>
      <c r="L27" s="262"/>
      <c r="M27" s="263"/>
      <c r="N27" s="262"/>
      <c r="O27" s="263"/>
      <c r="P27" s="264"/>
      <c r="Q27" s="265"/>
      <c r="R27" s="264"/>
      <c r="S27" s="265"/>
      <c r="T27" s="264"/>
      <c r="U27" s="266"/>
      <c r="V27" t="b" s="96">
        <v>0</v>
      </c>
      <c r="W27" t="b" s="96">
        <v>0</v>
      </c>
      <c r="X27" s="96">
        <f>IF(OR(V27=TRUE,W27=TRUE),0,1)</f>
        <v>1</v>
      </c>
      <c r="Y27" s="11"/>
      <c r="Z27" s="12"/>
    </row>
    <row r="28" ht="33.95" customHeight="1">
      <c r="A28" t="s" s="95">
        <v>270</v>
      </c>
      <c r="B28" s="196">
        <v>10</v>
      </c>
      <c r="C28" t="s" s="197">
        <f>CONCATENATE(A28,B28)</f>
        <v>289</v>
      </c>
      <c r="D28" t="s" s="198">
        <v>290</v>
      </c>
      <c r="E28" s="199"/>
      <c r="F28" s="199"/>
      <c r="G28" s="199"/>
      <c r="H28" s="199"/>
      <c r="I28" s="199"/>
      <c r="J28" s="199"/>
      <c r="K28" s="200"/>
      <c r="L28" s="262"/>
      <c r="M28" s="263"/>
      <c r="N28" s="262"/>
      <c r="O28" s="263"/>
      <c r="P28" s="264"/>
      <c r="Q28" s="265"/>
      <c r="R28" s="264"/>
      <c r="S28" s="265"/>
      <c r="T28" s="264"/>
      <c r="U28" s="266"/>
      <c r="V28" t="b" s="96">
        <v>0</v>
      </c>
      <c r="W28" t="b" s="96">
        <v>0</v>
      </c>
      <c r="X28" s="96">
        <f>IF(OR(V28=TRUE,W28=TRUE),0,1)</f>
        <v>1</v>
      </c>
      <c r="Y28" s="11"/>
      <c r="Z28" s="12"/>
    </row>
    <row r="29" ht="25.5" customHeight="1">
      <c r="A29" t="s" s="95">
        <v>270</v>
      </c>
      <c r="B29" s="196">
        <v>11</v>
      </c>
      <c r="C29" t="s" s="197">
        <f>CONCATENATE(A29,B29)</f>
        <v>291</v>
      </c>
      <c r="D29" t="s" s="198">
        <v>292</v>
      </c>
      <c r="E29" s="199"/>
      <c r="F29" s="199"/>
      <c r="G29" s="199"/>
      <c r="H29" s="199"/>
      <c r="I29" s="199"/>
      <c r="J29" s="199"/>
      <c r="K29" s="200"/>
      <c r="L29" s="262"/>
      <c r="M29" s="263"/>
      <c r="N29" s="262"/>
      <c r="O29" s="263"/>
      <c r="P29" s="264"/>
      <c r="Q29" s="265"/>
      <c r="R29" s="264"/>
      <c r="S29" s="265"/>
      <c r="T29" s="264"/>
      <c r="U29" s="266"/>
      <c r="V29" t="b" s="96">
        <v>0</v>
      </c>
      <c r="W29" t="b" s="96">
        <v>0</v>
      </c>
      <c r="X29" s="96">
        <f>IF(OR(V29=TRUE,W29=TRUE),0,1)</f>
        <v>1</v>
      </c>
      <c r="Y29" s="11"/>
      <c r="Z29" s="12"/>
    </row>
    <row r="30" ht="15.75" customHeight="1">
      <c r="A30" s="13"/>
      <c r="B30" s="11"/>
      <c r="C30" s="35"/>
      <c r="D30" s="35"/>
      <c r="E30" s="35"/>
      <c r="F30" s="35"/>
      <c r="G30" s="35"/>
      <c r="H30" s="35"/>
      <c r="I30" s="35"/>
      <c r="J30" s="35"/>
      <c r="K30" s="35"/>
      <c r="L30" s="35"/>
      <c r="M30" s="35"/>
      <c r="N30" s="182"/>
      <c r="O30" s="182"/>
      <c r="P30" s="35"/>
      <c r="Q30" s="35"/>
      <c r="R30" s="35"/>
      <c r="S30" s="35"/>
      <c r="T30" s="182"/>
      <c r="U30" s="182"/>
      <c r="V30" s="11"/>
      <c r="W30" s="11"/>
      <c r="X30" s="11"/>
      <c r="Y30" s="11"/>
      <c r="Z30" s="12"/>
    </row>
    <row r="31" ht="15.75" customHeight="1">
      <c r="A31" s="13"/>
      <c r="B31" s="11"/>
      <c r="C31" s="11"/>
      <c r="D31" s="11"/>
      <c r="E31" s="11"/>
      <c r="F31" s="11"/>
      <c r="G31" s="11"/>
      <c r="H31" s="11"/>
      <c r="I31" s="11"/>
      <c r="J31" s="11"/>
      <c r="K31" s="11"/>
      <c r="L31" t="s" s="208">
        <v>122</v>
      </c>
      <c r="M31" s="209"/>
      <c r="N31" s="267">
        <f>(P26*$X$26+P27*$X$27+P28*$X$28+P29*$X$29)+(R26*$X$26+R27*$X$27+R28*$X$28+R29*$X$29)/7+(T26*$X$26+T27*$X$27+T28*$X$28+T29*$X$29)/30</f>
        <v>0</v>
      </c>
      <c r="O31" s="268"/>
      <c r="P31" s="19"/>
      <c r="Q31" t="s" s="208">
        <v>123</v>
      </c>
      <c r="R31" s="212"/>
      <c r="S31" s="209"/>
      <c r="T31" s="269">
        <f>IF($N31&lt;(1/7),0,IF(AND($N31&gt;=(1/7),$N31&lt;1),1,IF(AND($N31&gt;=1,$N31&lt;3),2,IF($N31&gt;=3,3,"Fehler"))))</f>
        <v>0</v>
      </c>
      <c r="U31" s="270"/>
      <c r="V31" s="11"/>
      <c r="W31" s="11"/>
      <c r="X31" s="11"/>
      <c r="Y31" s="11"/>
      <c r="Z31" s="12"/>
    </row>
    <row r="32" ht="15.75" customHeight="1">
      <c r="A32" s="13"/>
      <c r="B32" s="11"/>
      <c r="C32" s="14"/>
      <c r="D32" s="14"/>
      <c r="E32" s="14"/>
      <c r="F32" s="14"/>
      <c r="G32" s="14"/>
      <c r="H32" s="14"/>
      <c r="I32" s="14"/>
      <c r="J32" s="14"/>
      <c r="K32" s="14"/>
      <c r="L32" s="14"/>
      <c r="M32" s="14"/>
      <c r="N32" s="182"/>
      <c r="O32" s="182"/>
      <c r="P32" s="14"/>
      <c r="Q32" s="14"/>
      <c r="R32" s="14"/>
      <c r="S32" s="14"/>
      <c r="T32" s="182"/>
      <c r="U32" s="182"/>
      <c r="V32" s="11"/>
      <c r="W32" s="11"/>
      <c r="X32" s="11"/>
      <c r="Y32" s="11"/>
      <c r="Z32" s="12"/>
    </row>
    <row r="33" ht="19.5" customHeight="1">
      <c r="A33" s="13"/>
      <c r="B33" s="15"/>
      <c r="C33" t="s" s="246">
        <v>107</v>
      </c>
      <c r="D33" s="247"/>
      <c r="E33" s="247"/>
      <c r="F33" s="247"/>
      <c r="G33" s="247"/>
      <c r="H33" s="247"/>
      <c r="I33" s="247"/>
      <c r="J33" s="247"/>
      <c r="K33" s="248"/>
      <c r="L33" t="s" s="249">
        <v>265</v>
      </c>
      <c r="M33" s="250"/>
      <c r="N33" t="s" s="249">
        <v>108</v>
      </c>
      <c r="O33" s="251"/>
      <c r="P33" t="s" s="192">
        <v>266</v>
      </c>
      <c r="Q33" s="252"/>
      <c r="R33" s="252"/>
      <c r="S33" s="252"/>
      <c r="T33" s="252"/>
      <c r="U33" s="252"/>
      <c r="V33" s="11"/>
      <c r="W33" s="11"/>
      <c r="X33" s="11"/>
      <c r="Y33" s="11"/>
      <c r="Z33" s="12"/>
    </row>
    <row r="34" ht="22.5" customHeight="1">
      <c r="A34" s="13"/>
      <c r="B34" s="15"/>
      <c r="C34" s="253"/>
      <c r="D34" s="254"/>
      <c r="E34" s="254"/>
      <c r="F34" s="254"/>
      <c r="G34" s="254"/>
      <c r="H34" s="254"/>
      <c r="I34" s="254"/>
      <c r="J34" s="254"/>
      <c r="K34" s="255"/>
      <c r="L34" s="256"/>
      <c r="M34" s="257"/>
      <c r="N34" s="258"/>
      <c r="O34" s="259"/>
      <c r="P34" t="s" s="192">
        <v>267</v>
      </c>
      <c r="Q34" s="193"/>
      <c r="R34" t="s" s="192">
        <v>268</v>
      </c>
      <c r="S34" s="193"/>
      <c r="T34" t="s" s="260">
        <v>269</v>
      </c>
      <c r="U34" s="261"/>
      <c r="V34" s="11"/>
      <c r="W34" s="11"/>
      <c r="X34" s="11"/>
      <c r="Y34" s="11"/>
      <c r="Z34" s="12"/>
    </row>
    <row r="35" ht="33.95" customHeight="1">
      <c r="A35" t="s" s="95">
        <v>270</v>
      </c>
      <c r="B35" s="196">
        <v>12</v>
      </c>
      <c r="C35" t="s" s="197">
        <f>CONCATENATE(A35,B35)</f>
        <v>293</v>
      </c>
      <c r="D35" t="s" s="198">
        <v>294</v>
      </c>
      <c r="E35" s="199"/>
      <c r="F35" s="199"/>
      <c r="G35" s="199"/>
      <c r="H35" s="199"/>
      <c r="I35" s="199"/>
      <c r="J35" s="199"/>
      <c r="K35" s="200"/>
      <c r="L35" s="262"/>
      <c r="M35" s="263"/>
      <c r="N35" s="262"/>
      <c r="O35" s="263"/>
      <c r="P35" s="264"/>
      <c r="Q35" s="265"/>
      <c r="R35" s="264"/>
      <c r="S35" s="265"/>
      <c r="T35" s="264"/>
      <c r="U35" s="266"/>
      <c r="V35" t="b" s="96">
        <v>0</v>
      </c>
      <c r="W35" t="b" s="96">
        <v>0</v>
      </c>
      <c r="X35" s="96">
        <f>IF(OR(V35=TRUE,W35=TRUE),0,1)</f>
        <v>1</v>
      </c>
      <c r="Y35" s="11"/>
      <c r="Z35" s="12"/>
    </row>
    <row r="36" ht="25.5" customHeight="1">
      <c r="A36" t="s" s="95">
        <v>270</v>
      </c>
      <c r="B36" s="196">
        <v>13</v>
      </c>
      <c r="C36" t="s" s="197">
        <f>CONCATENATE(A36,B36)</f>
        <v>295</v>
      </c>
      <c r="D36" t="s" s="198">
        <v>296</v>
      </c>
      <c r="E36" s="199"/>
      <c r="F36" s="199"/>
      <c r="G36" s="199"/>
      <c r="H36" s="199"/>
      <c r="I36" s="199"/>
      <c r="J36" s="199"/>
      <c r="K36" s="200"/>
      <c r="L36" s="262"/>
      <c r="M36" s="263"/>
      <c r="N36" s="262"/>
      <c r="O36" s="263"/>
      <c r="P36" s="271"/>
      <c r="Q36" s="272"/>
      <c r="R36" s="264"/>
      <c r="S36" s="265"/>
      <c r="T36" s="264"/>
      <c r="U36" s="266"/>
      <c r="V36" t="b" s="96">
        <v>0</v>
      </c>
      <c r="W36" t="b" s="96">
        <v>0</v>
      </c>
      <c r="X36" s="96">
        <f>IF(OR(V36=TRUE,W36=TRUE),0,1)</f>
        <v>1</v>
      </c>
      <c r="Y36" s="11"/>
      <c r="Z36" s="12"/>
    </row>
    <row r="37" ht="33.95" customHeight="1">
      <c r="A37" t="s" s="95">
        <v>270</v>
      </c>
      <c r="B37" s="196">
        <v>14</v>
      </c>
      <c r="C37" t="s" s="197">
        <f>CONCATENATE(A37,B37)</f>
        <v>297</v>
      </c>
      <c r="D37" t="s" s="198">
        <v>298</v>
      </c>
      <c r="E37" s="199"/>
      <c r="F37" s="199"/>
      <c r="G37" s="199"/>
      <c r="H37" s="199"/>
      <c r="I37" s="199"/>
      <c r="J37" s="199"/>
      <c r="K37" s="200"/>
      <c r="L37" s="262"/>
      <c r="M37" s="263"/>
      <c r="N37" s="262"/>
      <c r="O37" s="263"/>
      <c r="P37" s="273"/>
      <c r="Q37" s="274"/>
      <c r="R37" s="264"/>
      <c r="S37" s="265"/>
      <c r="T37" s="264"/>
      <c r="U37" s="266"/>
      <c r="V37" t="b" s="96">
        <v>0</v>
      </c>
      <c r="W37" t="b" s="96">
        <v>0</v>
      </c>
      <c r="X37" s="96">
        <f>IF(OR(V37=TRUE,W37=TRUE),0,1)</f>
        <v>1</v>
      </c>
      <c r="Y37" s="11"/>
      <c r="Z37" s="12"/>
    </row>
    <row r="38" ht="33.95" customHeight="1">
      <c r="A38" t="s" s="95">
        <v>270</v>
      </c>
      <c r="B38" s="196">
        <v>15</v>
      </c>
      <c r="C38" t="s" s="197">
        <f>CONCATENATE(A38,B38)</f>
        <v>299</v>
      </c>
      <c r="D38" t="s" s="198">
        <v>300</v>
      </c>
      <c r="E38" s="199"/>
      <c r="F38" s="199"/>
      <c r="G38" s="199"/>
      <c r="H38" s="199"/>
      <c r="I38" s="199"/>
      <c r="J38" s="199"/>
      <c r="K38" s="200"/>
      <c r="L38" s="262"/>
      <c r="M38" s="263"/>
      <c r="N38" s="262"/>
      <c r="O38" s="263"/>
      <c r="P38" s="275"/>
      <c r="Q38" s="276"/>
      <c r="R38" s="264"/>
      <c r="S38" s="265"/>
      <c r="T38" s="264"/>
      <c r="U38" s="266"/>
      <c r="V38" t="b" s="96">
        <v>0</v>
      </c>
      <c r="W38" t="b" s="96">
        <v>0</v>
      </c>
      <c r="X38" s="96">
        <f>IF(OR(V38=TRUE,W38=TRUE),0,1)</f>
        <v>1</v>
      </c>
      <c r="Y38" s="11"/>
      <c r="Z38" s="12"/>
    </row>
    <row r="39" ht="15.75" customHeight="1">
      <c r="A39" s="13"/>
      <c r="B39" s="11"/>
      <c r="C39" s="35"/>
      <c r="D39" s="35"/>
      <c r="E39" s="35"/>
      <c r="F39" s="35"/>
      <c r="G39" s="35"/>
      <c r="H39" s="35"/>
      <c r="I39" s="35"/>
      <c r="J39" s="35"/>
      <c r="K39" s="35"/>
      <c r="L39" s="35"/>
      <c r="M39" s="35"/>
      <c r="N39" s="35"/>
      <c r="O39" s="35"/>
      <c r="P39" s="35"/>
      <c r="Q39" s="35"/>
      <c r="R39" s="35"/>
      <c r="S39" s="35"/>
      <c r="T39" s="35"/>
      <c r="U39" s="35"/>
      <c r="V39" s="11"/>
      <c r="W39" s="11"/>
      <c r="X39" s="11"/>
      <c r="Y39" s="11"/>
      <c r="Z39" s="12"/>
    </row>
    <row r="40" ht="15.75" customHeight="1">
      <c r="A40" s="13"/>
      <c r="B40" s="11"/>
      <c r="C40" t="s" s="102">
        <v>119</v>
      </c>
      <c r="D40" s="103"/>
      <c r="E40" s="103"/>
      <c r="F40" s="103"/>
      <c r="G40" s="103"/>
      <c r="H40" s="103"/>
      <c r="I40" s="40"/>
      <c r="J40" s="40"/>
      <c r="K40" s="40"/>
      <c r="L40" s="40"/>
      <c r="M40" s="40"/>
      <c r="N40" s="40"/>
      <c r="O40" s="40"/>
      <c r="P40" s="40"/>
      <c r="Q40" s="40"/>
      <c r="R40" s="40"/>
      <c r="S40" s="40"/>
      <c r="T40" s="40"/>
      <c r="U40" s="40"/>
      <c r="V40" s="11"/>
      <c r="W40" s="11"/>
      <c r="X40" s="11"/>
      <c r="Y40" s="11"/>
      <c r="Z40" s="12"/>
    </row>
    <row r="41" ht="90" customHeight="1">
      <c r="A41" s="13"/>
      <c r="B41" s="50"/>
      <c r="C41" s="85"/>
      <c r="D41" s="86"/>
      <c r="E41" s="86"/>
      <c r="F41" s="86"/>
      <c r="G41" s="86"/>
      <c r="H41" s="86"/>
      <c r="I41" s="86"/>
      <c r="J41" s="86"/>
      <c r="K41" s="86"/>
      <c r="L41" s="86"/>
      <c r="M41" s="86"/>
      <c r="N41" s="86"/>
      <c r="O41" s="86"/>
      <c r="P41" s="86"/>
      <c r="Q41" s="86"/>
      <c r="R41" s="86"/>
      <c r="S41" s="86"/>
      <c r="T41" s="86"/>
      <c r="U41" s="86"/>
      <c r="V41" s="11"/>
      <c r="W41" s="11"/>
      <c r="X41" s="11"/>
      <c r="Y41" s="11"/>
      <c r="Z41" s="12"/>
    </row>
    <row r="42" ht="15.75" customHeight="1">
      <c r="A42" s="13"/>
      <c r="B42" s="11"/>
      <c r="C42" s="48"/>
      <c r="D42" s="48"/>
      <c r="E42" s="48"/>
      <c r="F42" s="48"/>
      <c r="G42" s="48"/>
      <c r="H42" s="48"/>
      <c r="I42" s="48"/>
      <c r="J42" s="48"/>
      <c r="K42" s="48"/>
      <c r="L42" s="48"/>
      <c r="M42" s="48"/>
      <c r="N42" s="207"/>
      <c r="O42" s="207"/>
      <c r="P42" s="48"/>
      <c r="Q42" s="48"/>
      <c r="R42" s="48"/>
      <c r="S42" s="48"/>
      <c r="T42" s="207"/>
      <c r="U42" s="207"/>
      <c r="V42" s="11"/>
      <c r="W42" s="11"/>
      <c r="X42" s="11"/>
      <c r="Y42" s="11"/>
      <c r="Z42" s="12"/>
    </row>
    <row r="43" ht="15.75" customHeight="1">
      <c r="A43" s="13"/>
      <c r="B43" s="11"/>
      <c r="C43" s="11"/>
      <c r="D43" s="11"/>
      <c r="E43" s="11"/>
      <c r="F43" s="11"/>
      <c r="G43" s="11"/>
      <c r="H43" s="11"/>
      <c r="I43" s="11"/>
      <c r="J43" s="11"/>
      <c r="K43" s="11"/>
      <c r="L43" t="s" s="208">
        <v>122</v>
      </c>
      <c r="M43" s="209"/>
      <c r="N43" s="267">
        <f>(P35*60+R35*8.6+T35*2)*$X$35+(R36*4.3+T36*1)*$X$36+(R37*4.3+T37*1)*$X$37+(R38*8.6+T38*2)*$X$38</f>
        <v>0</v>
      </c>
      <c r="O43" s="268"/>
      <c r="P43" s="19"/>
      <c r="Q43" t="s" s="208">
        <v>123</v>
      </c>
      <c r="R43" s="212"/>
      <c r="S43" s="209"/>
      <c r="T43" s="269">
        <f>IF($N$43&lt;4.3,0,IF(AND($N$43&gt;=4.3,$N$43&lt;8.6),1,IF(AND($N$43&gt;=8.6,$N$43&lt;12.9),2,IF(AND($N$43&gt;=12.9,$N$43&lt;60),3,IF($N$43&gt;=60,6,"Fehler")))))</f>
        <v>0</v>
      </c>
      <c r="U43" s="270"/>
      <c r="V43" s="11"/>
      <c r="W43" s="11"/>
      <c r="X43" s="11"/>
      <c r="Y43" s="11"/>
      <c r="Z43" s="12"/>
    </row>
    <row r="44" ht="15.75" customHeight="1">
      <c r="A44" s="13"/>
      <c r="B44" s="11"/>
      <c r="C44" s="11"/>
      <c r="D44" s="11"/>
      <c r="E44" s="11"/>
      <c r="F44" s="11"/>
      <c r="G44" s="11"/>
      <c r="H44" s="11"/>
      <c r="I44" s="11"/>
      <c r="J44" s="11"/>
      <c r="K44" s="11"/>
      <c r="L44" s="11"/>
      <c r="M44" s="11"/>
      <c r="N44" s="35"/>
      <c r="O44" s="35"/>
      <c r="P44" s="11"/>
      <c r="Q44" s="11"/>
      <c r="R44" s="11"/>
      <c r="S44" s="11"/>
      <c r="T44" s="35"/>
      <c r="U44" s="35"/>
      <c r="V44" s="11"/>
      <c r="W44" s="11"/>
      <c r="X44" s="11"/>
      <c r="Y44" s="11"/>
      <c r="Z44" s="12"/>
    </row>
    <row r="45" ht="15.75" customHeight="1">
      <c r="A45" s="13"/>
      <c r="B45" s="11"/>
      <c r="C45" t="s" s="102">
        <v>301</v>
      </c>
      <c r="D45" s="103"/>
      <c r="E45" s="103"/>
      <c r="F45" s="103"/>
      <c r="G45" s="103"/>
      <c r="H45" s="103"/>
      <c r="I45" s="103"/>
      <c r="J45" s="103"/>
      <c r="K45" s="103"/>
      <c r="L45" s="103"/>
      <c r="M45" s="103"/>
      <c r="N45" s="103"/>
      <c r="O45" s="103"/>
      <c r="P45" s="103"/>
      <c r="Q45" s="103"/>
      <c r="R45" s="40"/>
      <c r="S45" s="40"/>
      <c r="T45" s="40"/>
      <c r="U45" s="40"/>
      <c r="V45" s="11"/>
      <c r="W45" s="11"/>
      <c r="X45" s="11"/>
      <c r="Y45" s="11"/>
      <c r="Z45" s="12"/>
    </row>
    <row r="46" ht="90" customHeight="1">
      <c r="A46" s="13"/>
      <c r="B46" s="50"/>
      <c r="C46" s="85"/>
      <c r="D46" s="86"/>
      <c r="E46" s="86"/>
      <c r="F46" s="86"/>
      <c r="G46" s="86"/>
      <c r="H46" s="86"/>
      <c r="I46" s="86"/>
      <c r="J46" s="86"/>
      <c r="K46" s="86"/>
      <c r="L46" s="86"/>
      <c r="M46" s="86"/>
      <c r="N46" s="86"/>
      <c r="O46" s="86"/>
      <c r="P46" s="86"/>
      <c r="Q46" s="86"/>
      <c r="R46" s="86"/>
      <c r="S46" s="86"/>
      <c r="T46" s="86"/>
      <c r="U46" s="86"/>
      <c r="V46" s="11"/>
      <c r="W46" s="11"/>
      <c r="X46" s="11"/>
      <c r="Y46" s="11"/>
      <c r="Z46" s="12"/>
    </row>
    <row r="47" ht="15.75" customHeight="1">
      <c r="A47" s="13"/>
      <c r="B47" s="11"/>
      <c r="C47" s="207"/>
      <c r="D47" s="207"/>
      <c r="E47" s="207"/>
      <c r="F47" s="207"/>
      <c r="G47" s="207"/>
      <c r="H47" s="207"/>
      <c r="I47" s="207"/>
      <c r="J47" s="207"/>
      <c r="K47" s="207"/>
      <c r="L47" s="207"/>
      <c r="M47" s="207"/>
      <c r="N47" s="207"/>
      <c r="O47" s="207"/>
      <c r="P47" s="207"/>
      <c r="Q47" s="207"/>
      <c r="R47" s="207"/>
      <c r="S47" s="207"/>
      <c r="T47" s="207"/>
      <c r="U47" s="207"/>
      <c r="V47" s="11"/>
      <c r="W47" s="11"/>
      <c r="X47" s="11"/>
      <c r="Y47" s="11"/>
      <c r="Z47" s="12"/>
    </row>
    <row r="48" ht="63" customHeight="1">
      <c r="A48" s="13"/>
      <c r="B48" s="15"/>
      <c r="C48" t="s" s="183">
        <v>107</v>
      </c>
      <c r="D48" s="184"/>
      <c r="E48" s="184"/>
      <c r="F48" s="184"/>
      <c r="G48" s="184"/>
      <c r="H48" s="184"/>
      <c r="I48" s="184"/>
      <c r="J48" s="184"/>
      <c r="K48" s="185"/>
      <c r="L48" t="s" s="186">
        <v>302</v>
      </c>
      <c r="M48" s="187"/>
      <c r="N48" t="s" s="186">
        <v>203</v>
      </c>
      <c r="O48" s="187"/>
      <c r="P48" t="s" s="188">
        <v>109</v>
      </c>
      <c r="Q48" s="189"/>
      <c r="R48" t="s" s="190">
        <v>110</v>
      </c>
      <c r="S48" s="191"/>
      <c r="T48" t="s" s="192">
        <v>111</v>
      </c>
      <c r="U48" s="252"/>
      <c r="V48" s="11"/>
      <c r="W48" s="11"/>
      <c r="X48" s="11"/>
      <c r="Y48" s="11"/>
      <c r="Z48" s="12"/>
    </row>
    <row r="49" ht="33.95" customHeight="1">
      <c r="A49" t="s" s="95">
        <v>270</v>
      </c>
      <c r="B49" s="196">
        <v>16</v>
      </c>
      <c r="C49" t="s" s="197">
        <f>CONCATENATE(A49,B49)</f>
        <v>303</v>
      </c>
      <c r="D49" t="s" s="198">
        <v>304</v>
      </c>
      <c r="E49" s="199"/>
      <c r="F49" s="199"/>
      <c r="G49" s="199"/>
      <c r="H49" s="199"/>
      <c r="I49" s="199"/>
      <c r="J49" s="199"/>
      <c r="K49" s="200"/>
      <c r="L49" s="201"/>
      <c r="M49" s="202"/>
      <c r="N49" s="201"/>
      <c r="O49" s="202"/>
      <c r="P49" s="201"/>
      <c r="Q49" s="202"/>
      <c r="R49" s="201"/>
      <c r="S49" s="202"/>
      <c r="T49" s="201"/>
      <c r="U49" s="277"/>
      <c r="V49" s="96">
        <v>0</v>
      </c>
      <c r="W49" s="11"/>
      <c r="X49" s="11"/>
      <c r="Y49" s="11"/>
      <c r="Z49" s="12"/>
    </row>
    <row r="50" ht="45" customHeight="1">
      <c r="A50" s="13"/>
      <c r="B50" s="278"/>
      <c r="C50" s="279"/>
      <c r="D50" s="279"/>
      <c r="E50" s="279"/>
      <c r="F50" s="279"/>
      <c r="G50" s="279"/>
      <c r="H50" s="279"/>
      <c r="I50" s="279"/>
      <c r="J50" s="279"/>
      <c r="K50" s="279"/>
      <c r="L50" s="279"/>
      <c r="M50" s="279"/>
      <c r="N50" s="279"/>
      <c r="O50" s="279"/>
      <c r="P50" s="279"/>
      <c r="Q50" s="280"/>
      <c r="R50" t="s" s="281">
        <v>305</v>
      </c>
      <c r="S50" s="282"/>
      <c r="T50" s="203">
        <f>IF(V49&lt;=2,0,IF(V49=3,1,IF(V49=4,2,IF(V49=5,3))))</f>
        <v>0</v>
      </c>
      <c r="U50" s="204"/>
      <c r="V50" s="11"/>
      <c r="W50" s="11"/>
      <c r="X50" s="11"/>
      <c r="Y50" s="11"/>
      <c r="Z50" s="12"/>
    </row>
    <row r="51" ht="15.75" customHeight="1">
      <c r="A51" s="13"/>
      <c r="B51" s="11"/>
      <c r="C51" s="11"/>
      <c r="D51" s="11"/>
      <c r="E51" s="11"/>
      <c r="F51" s="11"/>
      <c r="G51" s="11"/>
      <c r="H51" s="11"/>
      <c r="I51" s="11"/>
      <c r="J51" s="11"/>
      <c r="K51" s="11"/>
      <c r="L51" s="11"/>
      <c r="M51" s="11"/>
      <c r="N51" s="11"/>
      <c r="O51" s="11"/>
      <c r="P51" s="11"/>
      <c r="Q51" s="11"/>
      <c r="R51" s="35"/>
      <c r="S51" s="35"/>
      <c r="T51" s="35"/>
      <c r="U51" s="35"/>
      <c r="V51" s="11"/>
      <c r="W51" s="11"/>
      <c r="X51" s="11"/>
      <c r="Y51" s="11"/>
      <c r="Z51" s="12"/>
    </row>
    <row r="52" ht="15.75" customHeight="1">
      <c r="A52" s="13"/>
      <c r="B52" s="11"/>
      <c r="C52" t="s" s="102">
        <v>119</v>
      </c>
      <c r="D52" s="103"/>
      <c r="E52" s="103"/>
      <c r="F52" s="103"/>
      <c r="G52" s="103"/>
      <c r="H52" s="103"/>
      <c r="I52" s="40"/>
      <c r="J52" s="40"/>
      <c r="K52" s="40"/>
      <c r="L52" s="40"/>
      <c r="M52" s="40"/>
      <c r="N52" s="40"/>
      <c r="O52" s="40"/>
      <c r="P52" s="40"/>
      <c r="Q52" s="40"/>
      <c r="R52" s="40"/>
      <c r="S52" s="40"/>
      <c r="T52" s="40"/>
      <c r="U52" s="40"/>
      <c r="V52" s="11"/>
      <c r="W52" s="11"/>
      <c r="X52" s="11"/>
      <c r="Y52" s="11"/>
      <c r="Z52" s="12"/>
    </row>
    <row r="53" ht="90" customHeight="1">
      <c r="A53" s="13"/>
      <c r="B53" s="50"/>
      <c r="C53" s="85"/>
      <c r="D53" s="86"/>
      <c r="E53" s="86"/>
      <c r="F53" s="86"/>
      <c r="G53" s="86"/>
      <c r="H53" s="86"/>
      <c r="I53" s="86"/>
      <c r="J53" s="86"/>
      <c r="K53" s="86"/>
      <c r="L53" s="86"/>
      <c r="M53" s="86"/>
      <c r="N53" s="86"/>
      <c r="O53" s="86"/>
      <c r="P53" s="86"/>
      <c r="Q53" s="86"/>
      <c r="R53" s="86"/>
      <c r="S53" s="86"/>
      <c r="T53" s="86"/>
      <c r="U53" s="86"/>
      <c r="V53" s="11"/>
      <c r="W53" s="11"/>
      <c r="X53" s="11"/>
      <c r="Y53" s="11"/>
      <c r="Z53" s="12"/>
    </row>
    <row r="54" ht="15.75" customHeight="1">
      <c r="A54" s="13"/>
      <c r="B54" s="11"/>
      <c r="C54" s="48"/>
      <c r="D54" s="48"/>
      <c r="E54" s="48"/>
      <c r="F54" s="48"/>
      <c r="G54" s="48"/>
      <c r="H54" s="48"/>
      <c r="I54" s="48"/>
      <c r="J54" s="48"/>
      <c r="K54" s="48"/>
      <c r="L54" s="48"/>
      <c r="M54" s="48"/>
      <c r="N54" s="207"/>
      <c r="O54" s="207"/>
      <c r="P54" s="48"/>
      <c r="Q54" s="48"/>
      <c r="R54" s="48"/>
      <c r="S54" s="48"/>
      <c r="T54" s="207"/>
      <c r="U54" s="207"/>
      <c r="V54" s="11"/>
      <c r="W54" s="11"/>
      <c r="X54" s="11"/>
      <c r="Y54" s="11"/>
      <c r="Z54" s="12"/>
    </row>
    <row r="55" ht="15.75" customHeight="1">
      <c r="A55" s="13"/>
      <c r="B55" s="11"/>
      <c r="C55" s="11"/>
      <c r="D55" s="11"/>
      <c r="E55" s="11"/>
      <c r="F55" s="11"/>
      <c r="G55" s="11"/>
      <c r="H55" s="11"/>
      <c r="I55" s="11"/>
      <c r="J55" t="s" s="208">
        <v>306</v>
      </c>
      <c r="K55" s="212"/>
      <c r="L55" s="212"/>
      <c r="M55" s="209"/>
      <c r="N55" s="269">
        <f>T22+T31+T43+T50</f>
        <v>0</v>
      </c>
      <c r="O55" s="283"/>
      <c r="P55" t="s" s="284">
        <v>307</v>
      </c>
      <c r="Q55" s="285"/>
      <c r="R55" s="285"/>
      <c r="S55" s="286"/>
      <c r="T55" s="269">
        <f>IF($N$55&lt;=0,0,IF($N$55&lt;2,5,IF($N$55&lt;4,10,IF($N$55&lt;6,15,IF($N$55&lt;=15,20,"Fehler")))))</f>
        <v>0</v>
      </c>
      <c r="U55" s="270"/>
      <c r="V55" s="11"/>
      <c r="W55" s="11"/>
      <c r="X55" s="11"/>
      <c r="Y55" s="11"/>
      <c r="Z55" s="12"/>
    </row>
    <row r="56" ht="15.75" customHeight="1">
      <c r="A56" s="13"/>
      <c r="B56" s="11"/>
      <c r="C56" s="11"/>
      <c r="D56" s="11"/>
      <c r="E56" s="11"/>
      <c r="F56" s="11"/>
      <c r="G56" s="11"/>
      <c r="H56" s="11"/>
      <c r="I56" s="11"/>
      <c r="J56" s="11"/>
      <c r="K56" s="11"/>
      <c r="L56" s="14"/>
      <c r="M56" s="14"/>
      <c r="N56" s="182"/>
      <c r="O56" s="182"/>
      <c r="P56" s="14"/>
      <c r="Q56" s="14"/>
      <c r="R56" s="14"/>
      <c r="S56" s="14"/>
      <c r="T56" s="182"/>
      <c r="U56" s="182"/>
      <c r="V56" s="11"/>
      <c r="W56" s="11"/>
      <c r="X56" s="11"/>
      <c r="Y56" s="11"/>
      <c r="Z56" s="12"/>
    </row>
    <row r="57" ht="18.75" customHeight="1">
      <c r="A57" s="13"/>
      <c r="B57" s="11"/>
      <c r="C57" s="11"/>
      <c r="D57" s="11"/>
      <c r="E57" s="11"/>
      <c r="F57" s="11"/>
      <c r="G57" s="11"/>
      <c r="H57" s="11"/>
      <c r="I57" s="11"/>
      <c r="J57" s="11"/>
      <c r="K57" s="15"/>
      <c r="L57" t="s" s="234">
        <v>124</v>
      </c>
      <c r="M57" s="235"/>
      <c r="N57" s="235"/>
      <c r="O57" s="235"/>
      <c r="P57" s="235"/>
      <c r="Q57" s="235"/>
      <c r="R57" s="235"/>
      <c r="S57" s="235"/>
      <c r="T57" s="235"/>
      <c r="U57" s="238"/>
      <c r="V57" s="11"/>
      <c r="W57" s="11"/>
      <c r="X57" s="11"/>
      <c r="Y57" s="11"/>
      <c r="Z57" s="12"/>
    </row>
    <row r="58" ht="15.75" customHeight="1">
      <c r="A58" s="13"/>
      <c r="B58" s="11"/>
      <c r="C58" s="11"/>
      <c r="D58" s="11"/>
      <c r="E58" s="11"/>
      <c r="F58" s="11"/>
      <c r="G58" s="11"/>
      <c r="H58" s="11"/>
      <c r="I58" s="11"/>
      <c r="J58" s="11"/>
      <c r="K58" t="s" s="217">
        <v>306</v>
      </c>
      <c r="L58" s="222">
        <v>0</v>
      </c>
      <c r="M58" s="219"/>
      <c r="N58" s="222">
        <v>1</v>
      </c>
      <c r="O58" s="219"/>
      <c r="P58" t="s" s="218">
        <v>126</v>
      </c>
      <c r="Q58" s="219"/>
      <c r="R58" t="s" s="218">
        <v>127</v>
      </c>
      <c r="S58" s="219"/>
      <c r="T58" t="s" s="218">
        <v>308</v>
      </c>
      <c r="U58" s="226"/>
      <c r="V58" s="11"/>
      <c r="W58" s="11"/>
      <c r="X58" s="11"/>
      <c r="Y58" s="11"/>
      <c r="Z58" s="12"/>
    </row>
    <row r="59" ht="15.75" customHeight="1">
      <c r="A59" s="13"/>
      <c r="B59" s="11"/>
      <c r="C59" s="11"/>
      <c r="D59" s="11"/>
      <c r="E59" s="11"/>
      <c r="F59" s="11"/>
      <c r="G59" s="11"/>
      <c r="H59" s="11"/>
      <c r="I59" s="11"/>
      <c r="J59" s="11"/>
      <c r="K59" t="s" s="217">
        <v>307</v>
      </c>
      <c r="L59" s="222">
        <v>0</v>
      </c>
      <c r="M59" s="219"/>
      <c r="N59" s="222">
        <v>5</v>
      </c>
      <c r="O59" s="219"/>
      <c r="P59" s="222">
        <v>10</v>
      </c>
      <c r="Q59" s="219"/>
      <c r="R59" s="222">
        <v>15</v>
      </c>
      <c r="S59" s="219"/>
      <c r="T59" s="222">
        <v>20</v>
      </c>
      <c r="U59" s="226"/>
      <c r="V59" s="11"/>
      <c r="W59" s="11"/>
      <c r="X59" s="11"/>
      <c r="Y59" s="11"/>
      <c r="Z59" s="12"/>
    </row>
    <row r="60" ht="15.75" customHeight="1">
      <c r="A60" s="13"/>
      <c r="B60" s="11"/>
      <c r="C60" s="11"/>
      <c r="D60" s="11"/>
      <c r="E60" s="11"/>
      <c r="F60" s="11"/>
      <c r="G60" s="11"/>
      <c r="H60" s="11"/>
      <c r="I60" s="11"/>
      <c r="J60" s="11"/>
      <c r="K60" s="11"/>
      <c r="L60" s="35"/>
      <c r="M60" s="35"/>
      <c r="N60" s="35"/>
      <c r="O60" s="35"/>
      <c r="P60" s="35"/>
      <c r="Q60" s="35"/>
      <c r="R60" s="35"/>
      <c r="S60" s="35"/>
      <c r="T60" s="35"/>
      <c r="U60" s="35"/>
      <c r="V60" s="11"/>
      <c r="W60" s="11"/>
      <c r="X60" s="11"/>
      <c r="Y60" s="11"/>
      <c r="Z60" s="12"/>
    </row>
    <row r="61" ht="15.75" customHeight="1">
      <c r="A61" s="13"/>
      <c r="B61" s="11"/>
      <c r="C61" t="s" s="41">
        <v>309</v>
      </c>
      <c r="D61" s="42"/>
      <c r="E61" s="42"/>
      <c r="F61" s="42"/>
      <c r="G61" s="42"/>
      <c r="H61" s="42"/>
      <c r="I61" s="42"/>
      <c r="J61" s="42"/>
      <c r="K61" s="42"/>
      <c r="L61" s="11"/>
      <c r="M61" s="11"/>
      <c r="N61" s="11"/>
      <c r="O61" s="11"/>
      <c r="P61" s="11"/>
      <c r="Q61" s="11"/>
      <c r="R61" s="11"/>
      <c r="S61" s="11"/>
      <c r="T61" s="11"/>
      <c r="U61" s="11"/>
      <c r="V61" s="11"/>
      <c r="W61" s="11"/>
      <c r="X61" s="11"/>
      <c r="Y61" s="11"/>
      <c r="Z61" s="12"/>
    </row>
    <row r="62" ht="15.75" customHeight="1">
      <c r="A62" s="13"/>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5.75" customHeight="1">
      <c r="A63" s="13"/>
      <c r="B63" s="11"/>
      <c r="C63" t="s" s="102">
        <v>296</v>
      </c>
      <c r="D63" s="103"/>
      <c r="E63" s="103"/>
      <c r="F63" s="103"/>
      <c r="G63" s="103"/>
      <c r="H63" s="103"/>
      <c r="I63" s="40"/>
      <c r="J63" s="40"/>
      <c r="K63" s="40"/>
      <c r="L63" s="40"/>
      <c r="M63" s="40"/>
      <c r="N63" s="40"/>
      <c r="O63" s="40"/>
      <c r="P63" s="40"/>
      <c r="Q63" s="40"/>
      <c r="R63" s="40"/>
      <c r="S63" s="40"/>
      <c r="T63" s="11"/>
      <c r="U63" s="11"/>
      <c r="V63" s="11"/>
      <c r="W63" s="11"/>
      <c r="X63" s="11"/>
      <c r="Y63" s="11"/>
      <c r="Z63" s="12"/>
    </row>
    <row r="64" ht="60" customHeight="1">
      <c r="A64" s="13"/>
      <c r="B64" s="50"/>
      <c r="C64" s="85"/>
      <c r="D64" s="86"/>
      <c r="E64" s="86"/>
      <c r="F64" s="86"/>
      <c r="G64" s="86"/>
      <c r="H64" s="86"/>
      <c r="I64" s="86"/>
      <c r="J64" s="86"/>
      <c r="K64" s="86"/>
      <c r="L64" s="86"/>
      <c r="M64" s="86"/>
      <c r="N64" s="86"/>
      <c r="O64" s="86"/>
      <c r="P64" s="86"/>
      <c r="Q64" s="86"/>
      <c r="R64" s="86"/>
      <c r="S64" s="87"/>
      <c r="T64" s="47"/>
      <c r="U64" s="11"/>
      <c r="V64" s="11"/>
      <c r="W64" s="11"/>
      <c r="X64" s="11"/>
      <c r="Y64" s="11"/>
      <c r="Z64" s="12"/>
    </row>
    <row r="65" ht="15.75" customHeight="1">
      <c r="A65" s="13"/>
      <c r="B65" s="11"/>
      <c r="C65" s="48"/>
      <c r="D65" s="48"/>
      <c r="E65" s="48"/>
      <c r="F65" s="48"/>
      <c r="G65" s="48"/>
      <c r="H65" s="48"/>
      <c r="I65" s="48"/>
      <c r="J65" s="48"/>
      <c r="K65" s="48"/>
      <c r="L65" s="48"/>
      <c r="M65" s="48"/>
      <c r="N65" s="48"/>
      <c r="O65" s="48"/>
      <c r="P65" s="48"/>
      <c r="Q65" s="48"/>
      <c r="R65" s="48"/>
      <c r="S65" s="48"/>
      <c r="T65" s="11"/>
      <c r="U65" s="11"/>
      <c r="V65" s="11"/>
      <c r="W65" s="11"/>
      <c r="X65" s="11"/>
      <c r="Y65" s="11"/>
      <c r="Z65" s="12"/>
    </row>
    <row r="66" ht="15.75" customHeight="1">
      <c r="A66" s="13"/>
      <c r="B66" s="11"/>
      <c r="C66" t="s" s="102">
        <v>310</v>
      </c>
      <c r="D66" s="103"/>
      <c r="E66" s="103"/>
      <c r="F66" s="103"/>
      <c r="G66" s="103"/>
      <c r="H66" s="103"/>
      <c r="I66" s="40"/>
      <c r="J66" s="40"/>
      <c r="K66" s="40"/>
      <c r="L66" s="40"/>
      <c r="M66" s="40"/>
      <c r="N66" s="40"/>
      <c r="O66" s="40"/>
      <c r="P66" s="40"/>
      <c r="Q66" s="40"/>
      <c r="R66" s="40"/>
      <c r="S66" s="40"/>
      <c r="T66" s="11"/>
      <c r="U66" s="11"/>
      <c r="V66" s="11"/>
      <c r="W66" s="11"/>
      <c r="X66" s="11"/>
      <c r="Y66" s="11"/>
      <c r="Z66" s="12"/>
    </row>
    <row r="67" ht="90" customHeight="1">
      <c r="A67" s="13"/>
      <c r="B67" s="50"/>
      <c r="C67" s="85"/>
      <c r="D67" s="86"/>
      <c r="E67" s="86"/>
      <c r="F67" s="86"/>
      <c r="G67" s="86"/>
      <c r="H67" s="86"/>
      <c r="I67" s="86"/>
      <c r="J67" s="86"/>
      <c r="K67" s="86"/>
      <c r="L67" s="86"/>
      <c r="M67" s="86"/>
      <c r="N67" s="86"/>
      <c r="O67" s="86"/>
      <c r="P67" s="86"/>
      <c r="Q67" s="86"/>
      <c r="R67" s="86"/>
      <c r="S67" s="87"/>
      <c r="T67" s="47"/>
      <c r="U67" s="11"/>
      <c r="V67" s="11"/>
      <c r="W67" s="11"/>
      <c r="X67" s="11"/>
      <c r="Y67" s="11"/>
      <c r="Z67" s="12"/>
    </row>
    <row r="68" ht="15.75" customHeight="1">
      <c r="A68" s="13"/>
      <c r="B68" s="11"/>
      <c r="C68" s="48"/>
      <c r="D68" s="48"/>
      <c r="E68" s="48"/>
      <c r="F68" s="48"/>
      <c r="G68" s="48"/>
      <c r="H68" s="48"/>
      <c r="I68" s="48"/>
      <c r="J68" s="48"/>
      <c r="K68" s="48"/>
      <c r="L68" s="48"/>
      <c r="M68" s="48"/>
      <c r="N68" s="48"/>
      <c r="O68" s="48"/>
      <c r="P68" s="48"/>
      <c r="Q68" s="48"/>
      <c r="R68" s="48"/>
      <c r="S68" s="48"/>
      <c r="T68" s="11"/>
      <c r="U68" s="11"/>
      <c r="V68" s="11"/>
      <c r="W68" s="11"/>
      <c r="X68" s="11"/>
      <c r="Y68" s="11"/>
      <c r="Z68" s="12"/>
    </row>
    <row r="69" ht="15.75" customHeight="1">
      <c r="A69" s="13"/>
      <c r="B69" s="11"/>
      <c r="C69" t="s" s="102">
        <v>311</v>
      </c>
      <c r="D69" s="103"/>
      <c r="E69" s="103"/>
      <c r="F69" s="103"/>
      <c r="G69" s="103"/>
      <c r="H69" s="103"/>
      <c r="I69" s="40"/>
      <c r="J69" s="40"/>
      <c r="K69" s="40"/>
      <c r="L69" s="40"/>
      <c r="M69" s="40"/>
      <c r="N69" s="40"/>
      <c r="O69" s="40"/>
      <c r="P69" s="40"/>
      <c r="Q69" s="40"/>
      <c r="R69" s="40"/>
      <c r="S69" s="40"/>
      <c r="T69" s="40"/>
      <c r="U69" s="40"/>
      <c r="V69" s="11"/>
      <c r="W69" s="11"/>
      <c r="X69" s="11"/>
      <c r="Y69" s="11"/>
      <c r="Z69" s="12"/>
    </row>
    <row r="70" ht="25.5" customHeight="1">
      <c r="A70" s="13"/>
      <c r="B70" s="50"/>
      <c r="C70" s="71"/>
      <c r="D70" t="s" s="72">
        <v>59</v>
      </c>
      <c r="E70" s="73"/>
      <c r="F70" s="73"/>
      <c r="G70" s="73"/>
      <c r="H70" s="73"/>
      <c r="I70" s="73"/>
      <c r="J70" s="73"/>
      <c r="K70" s="73"/>
      <c r="L70" s="73"/>
      <c r="M70" s="73"/>
      <c r="N70" s="73"/>
      <c r="O70" s="73"/>
      <c r="P70" s="73"/>
      <c r="Q70" s="73"/>
      <c r="R70" s="73"/>
      <c r="S70" s="73"/>
      <c r="T70" s="73"/>
      <c r="U70" s="73"/>
      <c r="V70" s="11"/>
      <c r="W70" s="11"/>
      <c r="X70" s="11"/>
      <c r="Y70" s="11"/>
      <c r="Z70" s="12"/>
    </row>
    <row r="71" ht="25.5" customHeight="1">
      <c r="A71" s="13"/>
      <c r="B71" s="50"/>
      <c r="C71" s="75"/>
      <c r="D71" t="s" s="76">
        <v>312</v>
      </c>
      <c r="E71" s="77"/>
      <c r="F71" s="77"/>
      <c r="G71" s="77"/>
      <c r="H71" s="77"/>
      <c r="I71" s="77"/>
      <c r="J71" s="77"/>
      <c r="K71" s="77"/>
      <c r="L71" s="77"/>
      <c r="M71" s="77"/>
      <c r="N71" s="77"/>
      <c r="O71" s="77"/>
      <c r="P71" s="77"/>
      <c r="Q71" s="77"/>
      <c r="R71" s="77"/>
      <c r="S71" s="77"/>
      <c r="T71" s="77"/>
      <c r="U71" s="77"/>
      <c r="V71" s="11"/>
      <c r="W71" s="11"/>
      <c r="X71" s="11"/>
      <c r="Y71" s="11"/>
      <c r="Z71" s="12"/>
    </row>
    <row r="72" ht="25.5" customHeight="1">
      <c r="A72" s="13"/>
      <c r="B72" s="50"/>
      <c r="C72" s="75"/>
      <c r="D72" t="s" s="76">
        <v>313</v>
      </c>
      <c r="E72" s="77"/>
      <c r="F72" s="77"/>
      <c r="G72" s="77"/>
      <c r="H72" s="77"/>
      <c r="I72" s="77"/>
      <c r="J72" s="77"/>
      <c r="K72" s="77"/>
      <c r="L72" s="77"/>
      <c r="M72" s="77"/>
      <c r="N72" s="77"/>
      <c r="O72" s="77"/>
      <c r="P72" s="77"/>
      <c r="Q72" s="77"/>
      <c r="R72" s="77"/>
      <c r="S72" s="77"/>
      <c r="T72" s="77"/>
      <c r="U72" s="77"/>
      <c r="V72" s="11"/>
      <c r="W72" s="11"/>
      <c r="X72" s="11"/>
      <c r="Y72" s="11"/>
      <c r="Z72" s="12"/>
    </row>
    <row r="73" ht="25.5" customHeight="1">
      <c r="A73" s="13"/>
      <c r="B73" s="50"/>
      <c r="C73" s="75"/>
      <c r="D73" t="s" s="76">
        <v>314</v>
      </c>
      <c r="E73" s="77"/>
      <c r="F73" s="77"/>
      <c r="G73" s="77"/>
      <c r="H73" s="77"/>
      <c r="I73" s="77"/>
      <c r="J73" s="77"/>
      <c r="K73" s="77"/>
      <c r="L73" s="77"/>
      <c r="M73" s="77"/>
      <c r="N73" s="77"/>
      <c r="O73" s="77"/>
      <c r="P73" s="77"/>
      <c r="Q73" s="77"/>
      <c r="R73" s="77"/>
      <c r="S73" s="77"/>
      <c r="T73" s="77"/>
      <c r="U73" s="77"/>
      <c r="V73" s="11"/>
      <c r="W73" s="11"/>
      <c r="X73" s="11"/>
      <c r="Y73" s="11"/>
      <c r="Z73" s="12"/>
    </row>
    <row r="74" ht="25.5" customHeight="1">
      <c r="A74" s="13"/>
      <c r="B74" s="50"/>
      <c r="C74" s="79"/>
      <c r="D74" t="s" s="80">
        <v>315</v>
      </c>
      <c r="E74" s="81"/>
      <c r="F74" s="81"/>
      <c r="G74" s="81"/>
      <c r="H74" s="81"/>
      <c r="I74" s="81"/>
      <c r="J74" s="81"/>
      <c r="K74" s="81"/>
      <c r="L74" s="81"/>
      <c r="M74" s="81"/>
      <c r="N74" s="81"/>
      <c r="O74" s="81"/>
      <c r="P74" s="81"/>
      <c r="Q74" s="81"/>
      <c r="R74" s="81"/>
      <c r="S74" s="81"/>
      <c r="T74" s="81"/>
      <c r="U74" s="81"/>
      <c r="V74" s="11"/>
      <c r="W74" s="11"/>
      <c r="X74" s="11"/>
      <c r="Y74" s="11"/>
      <c r="Z74" s="12"/>
    </row>
    <row r="75" ht="15.75" customHeight="1">
      <c r="A75" s="13"/>
      <c r="B75" s="11"/>
      <c r="C75" s="59"/>
      <c r="D75" s="59"/>
      <c r="E75" s="59"/>
      <c r="F75" s="59"/>
      <c r="G75" s="59"/>
      <c r="H75" s="59"/>
      <c r="I75" s="59"/>
      <c r="J75" s="59"/>
      <c r="K75" s="59"/>
      <c r="L75" s="59"/>
      <c r="M75" s="59"/>
      <c r="N75" s="59"/>
      <c r="O75" s="59"/>
      <c r="P75" s="59"/>
      <c r="Q75" s="59"/>
      <c r="R75" s="59"/>
      <c r="S75" s="59"/>
      <c r="T75" s="59"/>
      <c r="U75" s="59"/>
      <c r="V75" s="11"/>
      <c r="W75" s="11"/>
      <c r="X75" s="11"/>
      <c r="Y75" s="11"/>
      <c r="Z75" s="12"/>
    </row>
    <row r="76" ht="60" customHeight="1">
      <c r="A76" s="13"/>
      <c r="B76" s="50"/>
      <c r="C76" s="85"/>
      <c r="D76" s="86"/>
      <c r="E76" s="86"/>
      <c r="F76" s="86"/>
      <c r="G76" s="86"/>
      <c r="H76" s="86"/>
      <c r="I76" s="86"/>
      <c r="J76" s="86"/>
      <c r="K76" s="86"/>
      <c r="L76" s="86"/>
      <c r="M76" s="86"/>
      <c r="N76" s="86"/>
      <c r="O76" s="86"/>
      <c r="P76" s="86"/>
      <c r="Q76" s="86"/>
      <c r="R76" s="86"/>
      <c r="S76" s="86"/>
      <c r="T76" s="86"/>
      <c r="U76" s="86"/>
      <c r="V76" s="11"/>
      <c r="W76" s="11"/>
      <c r="X76" s="11"/>
      <c r="Y76" s="11"/>
      <c r="Z76" s="12"/>
    </row>
    <row r="77" ht="15.75" customHeight="1">
      <c r="A77" s="13"/>
      <c r="B77" s="11"/>
      <c r="C77" s="48"/>
      <c r="D77" s="48"/>
      <c r="E77" s="48"/>
      <c r="F77" s="48"/>
      <c r="G77" s="48"/>
      <c r="H77" s="48"/>
      <c r="I77" s="48"/>
      <c r="J77" s="48"/>
      <c r="K77" s="48"/>
      <c r="L77" s="48"/>
      <c r="M77" s="48"/>
      <c r="N77" s="48"/>
      <c r="O77" s="48"/>
      <c r="P77" s="48"/>
      <c r="Q77" s="48"/>
      <c r="R77" s="48"/>
      <c r="S77" s="48"/>
      <c r="T77" s="48"/>
      <c r="U77" s="48"/>
      <c r="V77" s="11"/>
      <c r="W77" s="11"/>
      <c r="X77" s="11"/>
      <c r="Y77" s="11"/>
      <c r="Z77" s="12"/>
    </row>
    <row r="78" ht="15.75" customHeight="1">
      <c r="A78" s="13"/>
      <c r="B78" s="11"/>
      <c r="C78" t="s" s="102">
        <v>316</v>
      </c>
      <c r="D78" s="103"/>
      <c r="E78" s="103"/>
      <c r="F78" s="103"/>
      <c r="G78" s="103"/>
      <c r="H78" s="103"/>
      <c r="I78" s="103"/>
      <c r="J78" s="103"/>
      <c r="K78" s="103"/>
      <c r="L78" s="103"/>
      <c r="M78" s="103"/>
      <c r="N78" s="103"/>
      <c r="O78" s="40"/>
      <c r="P78" s="40"/>
      <c r="Q78" s="40"/>
      <c r="R78" s="40"/>
      <c r="S78" s="40"/>
      <c r="T78" s="11"/>
      <c r="U78" s="11"/>
      <c r="V78" s="11"/>
      <c r="W78" s="11"/>
      <c r="X78" s="11"/>
      <c r="Y78" s="11"/>
      <c r="Z78" s="12"/>
    </row>
    <row r="79" ht="90" customHeight="1">
      <c r="A79" s="13"/>
      <c r="B79" s="50"/>
      <c r="C79" s="85"/>
      <c r="D79" s="86"/>
      <c r="E79" s="86"/>
      <c r="F79" s="86"/>
      <c r="G79" s="86"/>
      <c r="H79" s="86"/>
      <c r="I79" s="86"/>
      <c r="J79" s="86"/>
      <c r="K79" s="86"/>
      <c r="L79" s="86"/>
      <c r="M79" s="86"/>
      <c r="N79" s="86"/>
      <c r="O79" s="86"/>
      <c r="P79" s="86"/>
      <c r="Q79" s="86"/>
      <c r="R79" s="86"/>
      <c r="S79" s="87"/>
      <c r="T79" s="47"/>
      <c r="U79" s="11"/>
      <c r="V79" s="11"/>
      <c r="W79" s="11"/>
      <c r="X79" s="11"/>
      <c r="Y79" s="11"/>
      <c r="Z79" s="12"/>
    </row>
    <row r="80" ht="15.75" customHeight="1">
      <c r="A80" s="13"/>
      <c r="B80" s="11"/>
      <c r="C80" s="48"/>
      <c r="D80" s="48"/>
      <c r="E80" s="48"/>
      <c r="F80" s="48"/>
      <c r="G80" s="48"/>
      <c r="H80" s="48"/>
      <c r="I80" s="48"/>
      <c r="J80" s="48"/>
      <c r="K80" s="48"/>
      <c r="L80" s="48"/>
      <c r="M80" s="48"/>
      <c r="N80" s="48"/>
      <c r="O80" s="48"/>
      <c r="P80" s="48"/>
      <c r="Q80" s="48"/>
      <c r="R80" s="48"/>
      <c r="S80" s="48"/>
      <c r="T80" s="11"/>
      <c r="U80" s="11"/>
      <c r="V80" s="11"/>
      <c r="W80" s="11"/>
      <c r="X80" s="11"/>
      <c r="Y80" s="11"/>
      <c r="Z80" s="12"/>
    </row>
    <row r="81" ht="15.75" customHeight="1">
      <c r="A81" s="13"/>
      <c r="B81" s="11"/>
      <c r="C81" t="s" s="54">
        <v>317</v>
      </c>
      <c r="D81" s="63"/>
      <c r="E81" s="63"/>
      <c r="F81" s="63"/>
      <c r="G81" s="63"/>
      <c r="H81" s="63"/>
      <c r="I81" s="63"/>
      <c r="J81" s="63"/>
      <c r="K81" s="63"/>
      <c r="L81" s="63"/>
      <c r="M81" s="11"/>
      <c r="N81" s="11"/>
      <c r="O81" s="11"/>
      <c r="P81" s="11"/>
      <c r="Q81" s="11"/>
      <c r="R81" s="11"/>
      <c r="S81" s="11"/>
      <c r="T81" s="11"/>
      <c r="U81" s="11"/>
      <c r="V81" s="11"/>
      <c r="W81" s="11"/>
      <c r="X81" s="11"/>
      <c r="Y81" s="11"/>
      <c r="Z81" s="12"/>
    </row>
    <row r="82" ht="15.75" customHeight="1">
      <c r="A82" s="13"/>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5.75" customHeight="1">
      <c r="A83" s="173"/>
      <c r="B83" s="223"/>
      <c r="C83" s="223"/>
      <c r="D83" s="223"/>
      <c r="E83" s="223"/>
      <c r="F83" s="223"/>
      <c r="G83" s="223"/>
      <c r="H83" s="223"/>
      <c r="I83" s="223"/>
      <c r="J83" s="223"/>
      <c r="K83" s="223"/>
      <c r="L83" s="223"/>
      <c r="M83" s="223"/>
      <c r="N83" s="223"/>
      <c r="O83" s="223"/>
      <c r="P83" s="223"/>
      <c r="Q83" s="223"/>
      <c r="R83" s="223"/>
      <c r="S83" s="223"/>
      <c r="T83" s="223"/>
      <c r="U83" s="223"/>
      <c r="V83" s="223"/>
      <c r="W83" s="223"/>
      <c r="X83" s="223"/>
      <c r="Y83" s="223"/>
      <c r="Z83" s="176"/>
    </row>
  </sheetData>
  <mergeCells count="178">
    <mergeCell ref="R13:S13"/>
    <mergeCell ref="T13:U13"/>
    <mergeCell ref="D17:K17"/>
    <mergeCell ref="L17:M17"/>
    <mergeCell ref="N17:O17"/>
    <mergeCell ref="P17:Q17"/>
    <mergeCell ref="R17:S17"/>
    <mergeCell ref="T17:U17"/>
    <mergeCell ref="D16:K16"/>
    <mergeCell ref="L16:M16"/>
    <mergeCell ref="N16:O16"/>
    <mergeCell ref="P16:Q16"/>
    <mergeCell ref="R16:S16"/>
    <mergeCell ref="T16:U16"/>
    <mergeCell ref="C4:U4"/>
    <mergeCell ref="Q5:S5"/>
    <mergeCell ref="T5:U5"/>
    <mergeCell ref="C6:F6"/>
    <mergeCell ref="G6:H6"/>
    <mergeCell ref="C8:U8"/>
    <mergeCell ref="D15:K15"/>
    <mergeCell ref="L15:M15"/>
    <mergeCell ref="N15:O15"/>
    <mergeCell ref="P15:Q15"/>
    <mergeCell ref="R15:S15"/>
    <mergeCell ref="T15:U15"/>
    <mergeCell ref="D14:K14"/>
    <mergeCell ref="L14:M14"/>
    <mergeCell ref="N14:O14"/>
    <mergeCell ref="P14:Q14"/>
    <mergeCell ref="R14:S14"/>
    <mergeCell ref="T14:U14"/>
    <mergeCell ref="C12:K13"/>
    <mergeCell ref="N12:O13"/>
    <mergeCell ref="L12:M13"/>
    <mergeCell ref="P12:U12"/>
    <mergeCell ref="C10:U10"/>
    <mergeCell ref="P13:Q13"/>
    <mergeCell ref="N19:O19"/>
    <mergeCell ref="P19:Q19"/>
    <mergeCell ref="R19:S19"/>
    <mergeCell ref="T19:U19"/>
    <mergeCell ref="D18:K18"/>
    <mergeCell ref="L18:M18"/>
    <mergeCell ref="N18:O18"/>
    <mergeCell ref="P18:Q18"/>
    <mergeCell ref="R18:S18"/>
    <mergeCell ref="T18:U18"/>
    <mergeCell ref="D19:K19"/>
    <mergeCell ref="L19:M19"/>
    <mergeCell ref="L22:M22"/>
    <mergeCell ref="N22:O22"/>
    <mergeCell ref="T22:U22"/>
    <mergeCell ref="D20:K20"/>
    <mergeCell ref="L20:M20"/>
    <mergeCell ref="N20:O20"/>
    <mergeCell ref="P20:Q20"/>
    <mergeCell ref="R20:S20"/>
    <mergeCell ref="T20:U20"/>
    <mergeCell ref="Q22:S22"/>
    <mergeCell ref="D26:K26"/>
    <mergeCell ref="L26:M26"/>
    <mergeCell ref="N26:O26"/>
    <mergeCell ref="P26:Q26"/>
    <mergeCell ref="R26:S26"/>
    <mergeCell ref="T26:U26"/>
    <mergeCell ref="P25:Q25"/>
    <mergeCell ref="R25:S25"/>
    <mergeCell ref="T25:U25"/>
    <mergeCell ref="C24:K25"/>
    <mergeCell ref="L24:M25"/>
    <mergeCell ref="N24:O25"/>
    <mergeCell ref="P24:U24"/>
    <mergeCell ref="D28:K28"/>
    <mergeCell ref="L28:M28"/>
    <mergeCell ref="N28:O28"/>
    <mergeCell ref="P28:Q28"/>
    <mergeCell ref="R28:S28"/>
    <mergeCell ref="T28:U28"/>
    <mergeCell ref="D27:K27"/>
    <mergeCell ref="L27:M27"/>
    <mergeCell ref="N27:O27"/>
    <mergeCell ref="P27:Q27"/>
    <mergeCell ref="R27:S27"/>
    <mergeCell ref="T27:U27"/>
    <mergeCell ref="R36:S36"/>
    <mergeCell ref="T36:U36"/>
    <mergeCell ref="L31:M31"/>
    <mergeCell ref="N31:O31"/>
    <mergeCell ref="T31:U31"/>
    <mergeCell ref="D29:K29"/>
    <mergeCell ref="L29:M29"/>
    <mergeCell ref="N29:O29"/>
    <mergeCell ref="P29:Q29"/>
    <mergeCell ref="R29:S29"/>
    <mergeCell ref="T29:U29"/>
    <mergeCell ref="Q31:S31"/>
    <mergeCell ref="R49:S49"/>
    <mergeCell ref="T49:U49"/>
    <mergeCell ref="D35:K35"/>
    <mergeCell ref="L35:M35"/>
    <mergeCell ref="N35:O35"/>
    <mergeCell ref="P35:Q35"/>
    <mergeCell ref="R35:S35"/>
    <mergeCell ref="T35:U35"/>
    <mergeCell ref="C33:K34"/>
    <mergeCell ref="L33:M34"/>
    <mergeCell ref="N33:O34"/>
    <mergeCell ref="P33:U33"/>
    <mergeCell ref="P34:Q34"/>
    <mergeCell ref="R34:S34"/>
    <mergeCell ref="T34:U34"/>
    <mergeCell ref="P36:Q38"/>
    <mergeCell ref="D37:K37"/>
    <mergeCell ref="L37:M37"/>
    <mergeCell ref="N37:O37"/>
    <mergeCell ref="R37:S37"/>
    <mergeCell ref="T37:U37"/>
    <mergeCell ref="D36:K36"/>
    <mergeCell ref="L36:M36"/>
    <mergeCell ref="N36:O36"/>
    <mergeCell ref="C41:U41"/>
    <mergeCell ref="C48:K48"/>
    <mergeCell ref="L48:M48"/>
    <mergeCell ref="N48:O48"/>
    <mergeCell ref="P48:Q48"/>
    <mergeCell ref="R48:S48"/>
    <mergeCell ref="T48:U48"/>
    <mergeCell ref="D38:K38"/>
    <mergeCell ref="L38:M38"/>
    <mergeCell ref="N38:O38"/>
    <mergeCell ref="R38:S38"/>
    <mergeCell ref="T38:U38"/>
    <mergeCell ref="C40:H40"/>
    <mergeCell ref="C45:Q45"/>
    <mergeCell ref="L43:M43"/>
    <mergeCell ref="N43:O43"/>
    <mergeCell ref="Q43:S43"/>
    <mergeCell ref="T43:U43"/>
    <mergeCell ref="N58:O58"/>
    <mergeCell ref="L58:M58"/>
    <mergeCell ref="L59:M59"/>
    <mergeCell ref="N55:O55"/>
    <mergeCell ref="T55:U55"/>
    <mergeCell ref="R50:S50"/>
    <mergeCell ref="T50:U50"/>
    <mergeCell ref="C53:U53"/>
    <mergeCell ref="C46:U46"/>
    <mergeCell ref="J55:M55"/>
    <mergeCell ref="P55:S55"/>
    <mergeCell ref="C52:H52"/>
    <mergeCell ref="L57:U57"/>
    <mergeCell ref="T58:U58"/>
    <mergeCell ref="T59:U59"/>
    <mergeCell ref="R59:S59"/>
    <mergeCell ref="R58:S58"/>
    <mergeCell ref="P58:Q58"/>
    <mergeCell ref="P59:Q59"/>
    <mergeCell ref="N59:O59"/>
    <mergeCell ref="D49:K49"/>
    <mergeCell ref="L49:M49"/>
    <mergeCell ref="N49:O49"/>
    <mergeCell ref="P49:Q49"/>
    <mergeCell ref="C61:K61"/>
    <mergeCell ref="C63:H63"/>
    <mergeCell ref="C66:H66"/>
    <mergeCell ref="C69:H69"/>
    <mergeCell ref="C81:L81"/>
    <mergeCell ref="C64:S64"/>
    <mergeCell ref="C67:S67"/>
    <mergeCell ref="C76:U76"/>
    <mergeCell ref="C78:N78"/>
    <mergeCell ref="C79:S79"/>
    <mergeCell ref="D70:U70"/>
    <mergeCell ref="D72:U72"/>
    <mergeCell ref="D73:U73"/>
    <mergeCell ref="D74:U74"/>
    <mergeCell ref="D71:U71"/>
  </mergeCells>
  <pageMargins left="0.59" right="0.59" top="0.629921" bottom="0.98" header="0.51" footer="0.51"/>
  <pageSetup firstPageNumber="1" fitToHeight="1" fitToWidth="1" scale="74" useFirstPageNumber="0" orientation="portrait" pageOrder="downThenOver"/>
  <drawing r:id="rId1"/>
  <legacyDrawing r:id="rId2"/>
</worksheet>
</file>

<file path=xl/worksheets/sheet8.xml><?xml version="1.0" encoding="utf-8"?>
<worksheet xmlns:r="http://schemas.openxmlformats.org/officeDocument/2006/relationships" xmlns="http://schemas.openxmlformats.org/spreadsheetml/2006/main">
  <dimension ref="A1:W27"/>
  <sheetViews>
    <sheetView workbookViewId="0" showGridLines="0" defaultGridColor="1"/>
  </sheetViews>
  <sheetFormatPr defaultColWidth="5.83333" defaultRowHeight="15.75" customHeight="1" outlineLevelRow="0" outlineLevelCol="0"/>
  <cols>
    <col min="1" max="21" width="5.85156" style="287" customWidth="1"/>
    <col min="22" max="22" hidden="1" width="5.83333" style="287" customWidth="1"/>
    <col min="23" max="23" width="5.85156" style="287" customWidth="1"/>
    <col min="24" max="16384" width="5.85156" style="287" customWidth="1"/>
  </cols>
  <sheetData>
    <row r="1" ht="15.75" customHeight="1">
      <c r="A1" s="7"/>
      <c r="B1" s="8"/>
      <c r="C1" s="8"/>
      <c r="D1" s="8"/>
      <c r="E1" s="8"/>
      <c r="F1" s="8"/>
      <c r="G1" s="8"/>
      <c r="H1" s="8"/>
      <c r="I1" s="8"/>
      <c r="J1" s="8"/>
      <c r="K1" s="8"/>
      <c r="L1" s="8"/>
      <c r="M1" s="8"/>
      <c r="N1" s="8"/>
      <c r="O1" s="8"/>
      <c r="P1" s="8"/>
      <c r="Q1" s="8"/>
      <c r="R1" s="8"/>
      <c r="S1" s="8"/>
      <c r="T1" s="8"/>
      <c r="U1" s="8"/>
      <c r="V1" s="8"/>
      <c r="W1" s="9"/>
    </row>
    <row r="2" ht="15.75" customHeight="1">
      <c r="A2" t="s" s="10">
        <v>6</v>
      </c>
      <c r="B2" s="11"/>
      <c r="C2" s="11"/>
      <c r="D2" s="11"/>
      <c r="E2" s="11"/>
      <c r="F2" s="11"/>
      <c r="G2" s="11"/>
      <c r="H2" s="11"/>
      <c r="I2" s="11"/>
      <c r="J2" s="11"/>
      <c r="K2" s="11"/>
      <c r="L2" s="11"/>
      <c r="M2" s="11"/>
      <c r="N2" s="11"/>
      <c r="O2" s="11"/>
      <c r="P2" s="11"/>
      <c r="Q2" s="11"/>
      <c r="R2" s="11"/>
      <c r="S2" s="11"/>
      <c r="T2" s="11"/>
      <c r="U2" s="11"/>
      <c r="V2" s="11"/>
      <c r="W2" s="12"/>
    </row>
    <row r="3" ht="15.75" customHeight="1">
      <c r="A3" s="13"/>
      <c r="B3" s="11"/>
      <c r="C3" s="14"/>
      <c r="D3" s="14"/>
      <c r="E3" s="14"/>
      <c r="F3" s="14"/>
      <c r="G3" s="14"/>
      <c r="H3" s="14"/>
      <c r="I3" s="14"/>
      <c r="J3" s="14"/>
      <c r="K3" s="14"/>
      <c r="L3" s="14"/>
      <c r="M3" s="14"/>
      <c r="N3" s="14"/>
      <c r="O3" s="14"/>
      <c r="P3" s="14"/>
      <c r="Q3" s="14"/>
      <c r="R3" s="14"/>
      <c r="S3" s="14"/>
      <c r="T3" s="14"/>
      <c r="U3" s="14"/>
      <c r="V3" s="11"/>
      <c r="W3" s="12"/>
    </row>
    <row r="4" ht="18.75" customHeight="1">
      <c r="A4" s="13"/>
      <c r="B4" s="15"/>
      <c r="C4" t="s" s="16">
        <v>7</v>
      </c>
      <c r="D4" s="17"/>
      <c r="E4" s="17"/>
      <c r="F4" s="17"/>
      <c r="G4" s="17"/>
      <c r="H4" s="17"/>
      <c r="I4" s="17"/>
      <c r="J4" s="17"/>
      <c r="K4" s="17"/>
      <c r="L4" s="17"/>
      <c r="M4" s="17"/>
      <c r="N4" s="17"/>
      <c r="O4" s="17"/>
      <c r="P4" s="17"/>
      <c r="Q4" s="17"/>
      <c r="R4" s="17"/>
      <c r="S4" s="17"/>
      <c r="T4" s="17"/>
      <c r="U4" s="17"/>
      <c r="V4" s="178"/>
      <c r="W4" s="12"/>
    </row>
    <row r="5"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8"/>
      <c r="V5" s="179"/>
      <c r="W5" s="12"/>
    </row>
    <row r="6" ht="18" customHeight="1">
      <c r="A6" s="20"/>
      <c r="B6" s="21"/>
      <c r="C6" t="s" s="30">
        <v>11</v>
      </c>
      <c r="D6" s="31"/>
      <c r="E6" s="31"/>
      <c r="F6" s="31"/>
      <c r="G6" s="32">
        <f>'Kap. 1, 2, 3'!G6:H6</f>
      </c>
      <c r="H6" s="32"/>
      <c r="I6" s="33"/>
      <c r="J6" s="33"/>
      <c r="K6" s="33"/>
      <c r="L6" s="33"/>
      <c r="M6" s="33"/>
      <c r="N6" s="33"/>
      <c r="O6" s="33"/>
      <c r="P6" s="33"/>
      <c r="Q6" s="33"/>
      <c r="R6" s="33"/>
      <c r="S6" s="33"/>
      <c r="T6" s="33"/>
      <c r="U6" s="33"/>
      <c r="V6" s="179"/>
      <c r="W6" s="12"/>
    </row>
    <row r="7" ht="15.75" customHeight="1">
      <c r="A7" s="13"/>
      <c r="B7" s="11"/>
      <c r="C7" s="35"/>
      <c r="D7" s="35"/>
      <c r="E7" s="35"/>
      <c r="F7" s="35"/>
      <c r="G7" s="35"/>
      <c r="H7" s="35"/>
      <c r="I7" s="35"/>
      <c r="J7" s="35"/>
      <c r="K7" s="35"/>
      <c r="L7" s="35"/>
      <c r="M7" s="35"/>
      <c r="N7" s="35"/>
      <c r="O7" s="35"/>
      <c r="P7" s="35"/>
      <c r="Q7" s="35"/>
      <c r="R7" s="35"/>
      <c r="S7" s="35"/>
      <c r="T7" s="35"/>
      <c r="U7" s="35"/>
      <c r="V7" s="11"/>
      <c r="W7" s="12"/>
    </row>
    <row r="8" ht="21" customHeight="1">
      <c r="A8" s="13"/>
      <c r="B8" s="11"/>
      <c r="C8" t="s" s="38">
        <v>105</v>
      </c>
      <c r="D8" s="39"/>
      <c r="E8" s="39"/>
      <c r="F8" s="39"/>
      <c r="G8" s="39"/>
      <c r="H8" s="39"/>
      <c r="I8" s="39"/>
      <c r="J8" s="39"/>
      <c r="K8" s="39"/>
      <c r="L8" s="39"/>
      <c r="M8" s="39"/>
      <c r="N8" s="39"/>
      <c r="O8" s="39"/>
      <c r="P8" s="39"/>
      <c r="Q8" s="39"/>
      <c r="R8" s="39"/>
      <c r="S8" s="39"/>
      <c r="T8" s="39"/>
      <c r="U8" s="39"/>
      <c r="V8" s="11"/>
      <c r="W8" s="12"/>
    </row>
    <row r="9" ht="15.75" customHeight="1">
      <c r="A9" s="13"/>
      <c r="B9" s="11"/>
      <c r="C9" s="14"/>
      <c r="D9" s="14"/>
      <c r="E9" s="14"/>
      <c r="F9" s="14"/>
      <c r="G9" s="14"/>
      <c r="H9" s="14"/>
      <c r="I9" s="14"/>
      <c r="J9" s="14"/>
      <c r="K9" s="14"/>
      <c r="L9" s="14"/>
      <c r="M9" s="14"/>
      <c r="N9" s="14"/>
      <c r="O9" s="14"/>
      <c r="P9" s="14"/>
      <c r="Q9" s="14"/>
      <c r="R9" s="14"/>
      <c r="S9" s="14"/>
      <c r="T9" s="14"/>
      <c r="U9" s="14"/>
      <c r="V9" s="11"/>
      <c r="W9" s="12"/>
    </row>
    <row r="10" ht="18.75" customHeight="1">
      <c r="A10" s="13"/>
      <c r="B10" s="15"/>
      <c r="C10" t="s" s="180">
        <v>319</v>
      </c>
      <c r="D10" s="181"/>
      <c r="E10" s="181"/>
      <c r="F10" s="181"/>
      <c r="G10" s="181"/>
      <c r="H10" s="181"/>
      <c r="I10" s="181"/>
      <c r="J10" s="181"/>
      <c r="K10" s="181"/>
      <c r="L10" s="181"/>
      <c r="M10" s="181"/>
      <c r="N10" s="181"/>
      <c r="O10" s="181"/>
      <c r="P10" s="181"/>
      <c r="Q10" s="181"/>
      <c r="R10" s="181"/>
      <c r="S10" s="181"/>
      <c r="T10" s="181"/>
      <c r="U10" s="181"/>
      <c r="V10" s="11"/>
      <c r="W10" s="12"/>
    </row>
    <row r="11" ht="15.75" customHeight="1">
      <c r="A11" s="13"/>
      <c r="B11" s="11"/>
      <c r="C11" s="182"/>
      <c r="D11" s="182"/>
      <c r="E11" s="182"/>
      <c r="F11" s="182"/>
      <c r="G11" s="182"/>
      <c r="H11" s="182"/>
      <c r="I11" s="182"/>
      <c r="J11" s="182"/>
      <c r="K11" s="182"/>
      <c r="L11" s="182"/>
      <c r="M11" s="182"/>
      <c r="N11" s="182"/>
      <c r="O11" s="182"/>
      <c r="P11" s="182"/>
      <c r="Q11" s="182"/>
      <c r="R11" s="182"/>
      <c r="S11" s="182"/>
      <c r="T11" s="182"/>
      <c r="U11" s="182"/>
      <c r="V11" s="11"/>
      <c r="W11" s="12"/>
    </row>
    <row r="12" ht="45" customHeight="1">
      <c r="A12" s="13"/>
      <c r="B12" s="15"/>
      <c r="C12" t="s" s="183">
        <v>107</v>
      </c>
      <c r="D12" s="184"/>
      <c r="E12" s="184"/>
      <c r="F12" s="184"/>
      <c r="G12" s="184"/>
      <c r="H12" s="184"/>
      <c r="I12" s="184"/>
      <c r="J12" s="184"/>
      <c r="K12" s="185"/>
      <c r="L12" t="s" s="186">
        <v>108</v>
      </c>
      <c r="M12" s="187"/>
      <c r="N12" t="s" s="188">
        <v>109</v>
      </c>
      <c r="O12" s="189"/>
      <c r="P12" t="s" s="190">
        <v>110</v>
      </c>
      <c r="Q12" s="191"/>
      <c r="R12" t="s" s="192">
        <v>111</v>
      </c>
      <c r="S12" s="193"/>
      <c r="T12" t="s" s="194">
        <v>112</v>
      </c>
      <c r="U12" s="195"/>
      <c r="V12" s="11"/>
      <c r="W12" s="12"/>
    </row>
    <row r="13" ht="33.95" customHeight="1">
      <c r="A13" t="s" s="95">
        <v>320</v>
      </c>
      <c r="B13" s="196">
        <v>1</v>
      </c>
      <c r="C13" t="s" s="197">
        <f>CONCATENATE(A13,B13)</f>
        <v>321</v>
      </c>
      <c r="D13" t="s" s="198">
        <v>322</v>
      </c>
      <c r="E13" s="199"/>
      <c r="F13" s="199"/>
      <c r="G13" s="199"/>
      <c r="H13" s="199"/>
      <c r="I13" s="199"/>
      <c r="J13" s="199"/>
      <c r="K13" s="200"/>
      <c r="L13" s="201"/>
      <c r="M13" s="202"/>
      <c r="N13" s="201"/>
      <c r="O13" s="202"/>
      <c r="P13" s="201"/>
      <c r="Q13" s="202"/>
      <c r="R13" s="201"/>
      <c r="S13" s="202"/>
      <c r="T13" s="203">
        <f>IF(V13&lt;1,0,V13-1)</f>
        <v>0</v>
      </c>
      <c r="U13" s="204"/>
      <c r="V13" s="96">
        <v>0</v>
      </c>
      <c r="W13" s="12"/>
    </row>
    <row r="14" ht="25.5" customHeight="1">
      <c r="A14" t="s" s="95">
        <v>320</v>
      </c>
      <c r="B14" s="196">
        <v>2</v>
      </c>
      <c r="C14" t="s" s="197">
        <f>CONCATENATE(A14,B14)</f>
        <v>323</v>
      </c>
      <c r="D14" t="s" s="198">
        <v>324</v>
      </c>
      <c r="E14" s="199"/>
      <c r="F14" s="199"/>
      <c r="G14" s="199"/>
      <c r="H14" s="199"/>
      <c r="I14" s="199"/>
      <c r="J14" s="199"/>
      <c r="K14" s="200"/>
      <c r="L14" s="201"/>
      <c r="M14" s="202"/>
      <c r="N14" s="201"/>
      <c r="O14" s="202"/>
      <c r="P14" s="201"/>
      <c r="Q14" s="202"/>
      <c r="R14" s="201"/>
      <c r="S14" s="202"/>
      <c r="T14" s="203">
        <f>IF(V14&lt;1,0,V14-1)</f>
        <v>0</v>
      </c>
      <c r="U14" s="204"/>
      <c r="V14" s="96">
        <v>0</v>
      </c>
      <c r="W14" s="12"/>
    </row>
    <row r="15" ht="25.5" customHeight="1">
      <c r="A15" t="s" s="95">
        <v>320</v>
      </c>
      <c r="B15" s="196">
        <v>3</v>
      </c>
      <c r="C15" t="s" s="197">
        <f>CONCATENATE(A15,B15)</f>
        <v>325</v>
      </c>
      <c r="D15" t="s" s="198">
        <v>326</v>
      </c>
      <c r="E15" s="199"/>
      <c r="F15" s="199"/>
      <c r="G15" s="199"/>
      <c r="H15" s="199"/>
      <c r="I15" s="199"/>
      <c r="J15" s="199"/>
      <c r="K15" s="200"/>
      <c r="L15" s="201"/>
      <c r="M15" s="202"/>
      <c r="N15" s="201"/>
      <c r="O15" s="202"/>
      <c r="P15" s="201"/>
      <c r="Q15" s="202"/>
      <c r="R15" s="201"/>
      <c r="S15" s="202"/>
      <c r="T15" s="203">
        <f>IF(V15&lt;1,0,V15-1)</f>
        <v>0</v>
      </c>
      <c r="U15" s="204"/>
      <c r="V15" s="96">
        <v>0</v>
      </c>
      <c r="W15" s="12"/>
    </row>
    <row r="16" ht="25.5" customHeight="1">
      <c r="A16" t="s" s="95">
        <v>320</v>
      </c>
      <c r="B16" s="196">
        <v>4</v>
      </c>
      <c r="C16" t="s" s="197">
        <f>CONCATENATE(A16,B16)</f>
        <v>327</v>
      </c>
      <c r="D16" t="s" s="198">
        <v>328</v>
      </c>
      <c r="E16" s="199"/>
      <c r="F16" s="199"/>
      <c r="G16" s="199"/>
      <c r="H16" s="199"/>
      <c r="I16" s="199"/>
      <c r="J16" s="199"/>
      <c r="K16" s="200"/>
      <c r="L16" s="201"/>
      <c r="M16" s="202"/>
      <c r="N16" s="201"/>
      <c r="O16" s="202"/>
      <c r="P16" s="201"/>
      <c r="Q16" s="202"/>
      <c r="R16" s="201"/>
      <c r="S16" s="202"/>
      <c r="T16" s="203">
        <f>IF(V16&lt;1,0,V16-1)</f>
        <v>0</v>
      </c>
      <c r="U16" s="204"/>
      <c r="V16" s="96">
        <v>0</v>
      </c>
      <c r="W16" s="12"/>
    </row>
    <row r="17" ht="25.5" customHeight="1">
      <c r="A17" t="s" s="95">
        <v>320</v>
      </c>
      <c r="B17" s="196">
        <v>5</v>
      </c>
      <c r="C17" t="s" s="197">
        <f>CONCATENATE(A17,B17)</f>
        <v>329</v>
      </c>
      <c r="D17" t="s" s="198">
        <v>330</v>
      </c>
      <c r="E17" s="199"/>
      <c r="F17" s="199"/>
      <c r="G17" s="199"/>
      <c r="H17" s="199"/>
      <c r="I17" s="199"/>
      <c r="J17" s="199"/>
      <c r="K17" s="200"/>
      <c r="L17" s="201"/>
      <c r="M17" s="202"/>
      <c r="N17" s="201"/>
      <c r="O17" s="202"/>
      <c r="P17" s="201"/>
      <c r="Q17" s="202"/>
      <c r="R17" s="201"/>
      <c r="S17" s="202"/>
      <c r="T17" s="203">
        <f>IF(V17&lt;1,0,V17-1)</f>
        <v>0</v>
      </c>
      <c r="U17" s="204"/>
      <c r="V17" s="96">
        <v>0</v>
      </c>
      <c r="W17" s="12"/>
    </row>
    <row r="18" ht="33.95" customHeight="1">
      <c r="A18" t="s" s="95">
        <v>320</v>
      </c>
      <c r="B18" s="196">
        <v>6</v>
      </c>
      <c r="C18" t="s" s="197">
        <f>CONCATENATE(A18,B18)</f>
        <v>331</v>
      </c>
      <c r="D18" t="s" s="198">
        <v>332</v>
      </c>
      <c r="E18" s="199"/>
      <c r="F18" s="199"/>
      <c r="G18" s="199"/>
      <c r="H18" s="199"/>
      <c r="I18" s="199"/>
      <c r="J18" s="199"/>
      <c r="K18" s="200"/>
      <c r="L18" s="201"/>
      <c r="M18" s="202"/>
      <c r="N18" s="201"/>
      <c r="O18" s="202"/>
      <c r="P18" s="201"/>
      <c r="Q18" s="202"/>
      <c r="R18" s="201"/>
      <c r="S18" s="202"/>
      <c r="T18" s="203">
        <f>IF(V18&lt;1,0,V18-1)</f>
        <v>0</v>
      </c>
      <c r="U18" s="204"/>
      <c r="V18" s="96">
        <v>0</v>
      </c>
      <c r="W18" s="12"/>
    </row>
    <row r="19" ht="15.75" customHeight="1">
      <c r="A19" s="13"/>
      <c r="B19" s="11"/>
      <c r="C19" s="35"/>
      <c r="D19" s="35"/>
      <c r="E19" s="35"/>
      <c r="F19" s="35"/>
      <c r="G19" s="35"/>
      <c r="H19" s="35"/>
      <c r="I19" s="35"/>
      <c r="J19" s="35"/>
      <c r="K19" s="35"/>
      <c r="L19" s="35"/>
      <c r="M19" s="35"/>
      <c r="N19" s="35"/>
      <c r="O19" s="35"/>
      <c r="P19" s="35"/>
      <c r="Q19" s="35"/>
      <c r="R19" s="35"/>
      <c r="S19" s="35"/>
      <c r="T19" s="35"/>
      <c r="U19" s="35"/>
      <c r="V19" s="11"/>
      <c r="W19" s="12"/>
    </row>
    <row r="20" ht="15.75" customHeight="1">
      <c r="A20" s="13"/>
      <c r="B20" s="11"/>
      <c r="C20" t="s" s="102">
        <v>119</v>
      </c>
      <c r="D20" s="103"/>
      <c r="E20" s="103"/>
      <c r="F20" s="103"/>
      <c r="G20" s="103"/>
      <c r="H20" s="103"/>
      <c r="I20" s="40"/>
      <c r="J20" s="40"/>
      <c r="K20" s="40"/>
      <c r="L20" s="40"/>
      <c r="M20" s="40"/>
      <c r="N20" s="40"/>
      <c r="O20" s="40"/>
      <c r="P20" s="40"/>
      <c r="Q20" s="40"/>
      <c r="R20" s="40"/>
      <c r="S20" s="40"/>
      <c r="T20" s="40"/>
      <c r="U20" s="40"/>
      <c r="V20" s="11"/>
      <c r="W20" s="12"/>
    </row>
    <row r="21" ht="90" customHeight="1">
      <c r="A21" s="13"/>
      <c r="B21" s="50"/>
      <c r="C21" s="85"/>
      <c r="D21" s="86"/>
      <c r="E21" s="86"/>
      <c r="F21" s="86"/>
      <c r="G21" s="86"/>
      <c r="H21" s="86"/>
      <c r="I21" s="86"/>
      <c r="J21" s="86"/>
      <c r="K21" s="86"/>
      <c r="L21" s="86"/>
      <c r="M21" s="86"/>
      <c r="N21" s="86"/>
      <c r="O21" s="86"/>
      <c r="P21" s="86"/>
      <c r="Q21" s="86"/>
      <c r="R21" s="86"/>
      <c r="S21" s="86"/>
      <c r="T21" s="86"/>
      <c r="U21" s="86"/>
      <c r="V21" s="11"/>
      <c r="W21" s="12"/>
    </row>
    <row r="22" ht="15.75" customHeight="1">
      <c r="A22" s="13"/>
      <c r="B22" s="11"/>
      <c r="C22" s="48"/>
      <c r="D22" s="48"/>
      <c r="E22" s="48"/>
      <c r="F22" s="48"/>
      <c r="G22" s="48"/>
      <c r="H22" s="48"/>
      <c r="I22" s="48"/>
      <c r="J22" s="48"/>
      <c r="K22" s="48"/>
      <c r="L22" s="48"/>
      <c r="M22" s="48"/>
      <c r="N22" s="207"/>
      <c r="O22" s="207"/>
      <c r="P22" s="48"/>
      <c r="Q22" s="48"/>
      <c r="R22" s="48"/>
      <c r="S22" s="48"/>
      <c r="T22" s="207"/>
      <c r="U22" s="207"/>
      <c r="V22" s="11"/>
      <c r="W22" s="12"/>
    </row>
    <row r="23" ht="15.75" customHeight="1">
      <c r="A23" s="13"/>
      <c r="B23" s="11"/>
      <c r="C23" s="11"/>
      <c r="D23" s="11"/>
      <c r="E23" s="11"/>
      <c r="F23" s="11"/>
      <c r="G23" s="11"/>
      <c r="H23" s="11"/>
      <c r="I23" s="11"/>
      <c r="J23" s="11"/>
      <c r="K23" s="11"/>
      <c r="L23" t="s" s="208">
        <v>122</v>
      </c>
      <c r="M23" s="209"/>
      <c r="N23" s="210">
        <f>SUM(T13:U18)</f>
        <v>0</v>
      </c>
      <c r="O23" s="211"/>
      <c r="P23" s="19"/>
      <c r="Q23" t="s" s="208">
        <v>123</v>
      </c>
      <c r="R23" s="212"/>
      <c r="S23" s="209"/>
      <c r="T23" s="210">
        <f>IF($N$23&lt;=0,0,IF($N$23&lt;4,3.75,IF($N$23&lt;7,7.5,IF($N$23&lt;12,11.25,IF($N$23&lt;=18,15,"Fehler")))))</f>
        <v>0</v>
      </c>
      <c r="U23" s="213"/>
      <c r="V23" s="11"/>
      <c r="W23" s="12"/>
    </row>
    <row r="24" ht="15.75" customHeight="1">
      <c r="A24" s="13"/>
      <c r="B24" s="11"/>
      <c r="C24" s="11"/>
      <c r="D24" s="11"/>
      <c r="E24" s="11"/>
      <c r="F24" s="11"/>
      <c r="G24" s="11"/>
      <c r="H24" s="11"/>
      <c r="I24" s="11"/>
      <c r="J24" s="11"/>
      <c r="K24" s="11"/>
      <c r="L24" s="14"/>
      <c r="M24" s="14"/>
      <c r="N24" s="182"/>
      <c r="O24" s="182"/>
      <c r="P24" s="14"/>
      <c r="Q24" s="14"/>
      <c r="R24" s="14"/>
      <c r="S24" s="14"/>
      <c r="T24" s="182"/>
      <c r="U24" s="182"/>
      <c r="V24" s="11"/>
      <c r="W24" s="12"/>
    </row>
    <row r="25" ht="18.75" customHeight="1">
      <c r="A25" s="13"/>
      <c r="B25" s="11"/>
      <c r="C25" s="11"/>
      <c r="D25" s="11"/>
      <c r="E25" s="11"/>
      <c r="F25" s="11"/>
      <c r="G25" s="11"/>
      <c r="H25" s="11"/>
      <c r="I25" s="11"/>
      <c r="J25" s="11"/>
      <c r="K25" s="15"/>
      <c r="L25" t="s" s="234">
        <v>124</v>
      </c>
      <c r="M25" s="235"/>
      <c r="N25" s="235"/>
      <c r="O25" s="235"/>
      <c r="P25" s="235"/>
      <c r="Q25" s="235"/>
      <c r="R25" s="235"/>
      <c r="S25" s="235"/>
      <c r="T25" s="235"/>
      <c r="U25" s="238"/>
      <c r="V25" s="11"/>
      <c r="W25" s="12"/>
    </row>
    <row r="26" ht="15.75" customHeight="1">
      <c r="A26" s="13"/>
      <c r="B26" s="11"/>
      <c r="C26" s="11"/>
      <c r="D26" s="11"/>
      <c r="E26" s="11"/>
      <c r="F26" s="11"/>
      <c r="G26" s="11"/>
      <c r="H26" s="11"/>
      <c r="I26" s="11"/>
      <c r="J26" s="11"/>
      <c r="K26" t="s" s="217">
        <v>122</v>
      </c>
      <c r="L26" s="222">
        <v>0</v>
      </c>
      <c r="M26" s="219"/>
      <c r="N26" t="s" s="218">
        <v>333</v>
      </c>
      <c r="O26" s="219"/>
      <c r="P26" t="s" s="218">
        <v>334</v>
      </c>
      <c r="Q26" s="219"/>
      <c r="R26" t="s" s="218">
        <v>335</v>
      </c>
      <c r="S26" s="219"/>
      <c r="T26" t="s" s="218">
        <v>336</v>
      </c>
      <c r="U26" s="226"/>
      <c r="V26" s="11"/>
      <c r="W26" s="12"/>
    </row>
    <row r="27" ht="15.75" customHeight="1">
      <c r="A27" s="173"/>
      <c r="B27" s="223"/>
      <c r="C27" s="223"/>
      <c r="D27" s="223"/>
      <c r="E27" s="223"/>
      <c r="F27" s="223"/>
      <c r="G27" s="223"/>
      <c r="H27" s="223"/>
      <c r="I27" s="223"/>
      <c r="J27" s="223"/>
      <c r="K27" t="s" s="227">
        <v>130</v>
      </c>
      <c r="L27" s="222">
        <v>0</v>
      </c>
      <c r="M27" s="219"/>
      <c r="N27" s="222">
        <v>3.75</v>
      </c>
      <c r="O27" s="219"/>
      <c r="P27" s="222">
        <v>7.5</v>
      </c>
      <c r="Q27" s="219"/>
      <c r="R27" s="222">
        <v>11.25</v>
      </c>
      <c r="S27" s="219"/>
      <c r="T27" s="222">
        <v>15</v>
      </c>
      <c r="U27" s="226"/>
      <c r="V27" s="223"/>
      <c r="W27" s="176"/>
    </row>
  </sheetData>
  <mergeCells count="66">
    <mergeCell ref="C8:U8"/>
    <mergeCell ref="C4:U4"/>
    <mergeCell ref="Q5:S5"/>
    <mergeCell ref="T5:U5"/>
    <mergeCell ref="C6:F6"/>
    <mergeCell ref="G6:H6"/>
    <mergeCell ref="C10:U10"/>
    <mergeCell ref="C12:K12"/>
    <mergeCell ref="L12:M12"/>
    <mergeCell ref="N12:O12"/>
    <mergeCell ref="P12:Q12"/>
    <mergeCell ref="R12:S12"/>
    <mergeCell ref="T12:U12"/>
    <mergeCell ref="T14:U14"/>
    <mergeCell ref="D13:K13"/>
    <mergeCell ref="L13:M13"/>
    <mergeCell ref="N13:O13"/>
    <mergeCell ref="P13:Q13"/>
    <mergeCell ref="R13:S13"/>
    <mergeCell ref="T13:U13"/>
    <mergeCell ref="D14:K14"/>
    <mergeCell ref="L14:M14"/>
    <mergeCell ref="N14:O14"/>
    <mergeCell ref="P14:Q14"/>
    <mergeCell ref="R14:S14"/>
    <mergeCell ref="C20:H20"/>
    <mergeCell ref="C21:U21"/>
    <mergeCell ref="L23:M23"/>
    <mergeCell ref="T16:U16"/>
    <mergeCell ref="D15:K15"/>
    <mergeCell ref="L15:M15"/>
    <mergeCell ref="N15:O15"/>
    <mergeCell ref="P15:Q15"/>
    <mergeCell ref="R15:S15"/>
    <mergeCell ref="T15:U15"/>
    <mergeCell ref="D16:K16"/>
    <mergeCell ref="L16:M16"/>
    <mergeCell ref="N16:O16"/>
    <mergeCell ref="P16:Q16"/>
    <mergeCell ref="R16:S16"/>
    <mergeCell ref="T18:U18"/>
    <mergeCell ref="T17:U17"/>
    <mergeCell ref="D18:K18"/>
    <mergeCell ref="L18:M18"/>
    <mergeCell ref="N18:O18"/>
    <mergeCell ref="P18:Q18"/>
    <mergeCell ref="R18:S18"/>
    <mergeCell ref="D17:K17"/>
    <mergeCell ref="L17:M17"/>
    <mergeCell ref="N17:O17"/>
    <mergeCell ref="P17:Q17"/>
    <mergeCell ref="R17:S17"/>
    <mergeCell ref="N23:O23"/>
    <mergeCell ref="Q23:S23"/>
    <mergeCell ref="L25:U25"/>
    <mergeCell ref="T26:U26"/>
    <mergeCell ref="T27:U27"/>
    <mergeCell ref="R27:S27"/>
    <mergeCell ref="R26:S26"/>
    <mergeCell ref="P26:Q26"/>
    <mergeCell ref="P27:Q27"/>
    <mergeCell ref="N27:O27"/>
    <mergeCell ref="N26:O26"/>
    <mergeCell ref="L26:M26"/>
    <mergeCell ref="L27:M27"/>
    <mergeCell ref="T23:U23"/>
  </mergeCells>
  <pageMargins left="0.59" right="0.59" top="0.629921" bottom="0.98" header="0.51" footer="0.51"/>
  <pageSetup firstPageNumber="1" fitToHeight="1" fitToWidth="1" scale="74" useFirstPageNumber="0" orientation="portrait" pageOrder="downThenOver"/>
  <drawing r:id="rId1"/>
  <legacyDrawing r:id="rId2"/>
</worksheet>
</file>

<file path=xl/worksheets/sheet9.xml><?xml version="1.0" encoding="utf-8"?>
<worksheet xmlns:r="http://schemas.openxmlformats.org/officeDocument/2006/relationships" xmlns="http://schemas.openxmlformats.org/spreadsheetml/2006/main">
  <dimension ref="A1:ALL94"/>
  <sheetViews>
    <sheetView workbookViewId="0" defaultGridColor="0" colorId="25"/>
  </sheetViews>
  <sheetFormatPr defaultColWidth="5.83333" defaultRowHeight="15.75" customHeight="1" outlineLevelRow="0" outlineLevelCol="0"/>
  <cols>
    <col min="1" max="2" width="5.85156" style="289" customWidth="1"/>
    <col min="3" max="1000" width="5.85156" style="290" customWidth="1"/>
    <col min="1001" max="16384" width="5.85156" style="288" customWidth="1"/>
  </cols>
  <sheetData>
    <row r="2" s="291" customFormat="1" ht="15.75" customHeight="1">
      <c r="A2" t="s" s="10">
        <v>6</v>
      </c>
    </row>
    <row r="4" s="292" customFormat="1" ht="18.75" customHeight="1">
      <c r="C4" t="s" s="16">
        <v>7</v>
      </c>
      <c r="D4" s="17"/>
      <c r="E4" s="17"/>
      <c r="F4" s="17"/>
      <c r="G4" s="17"/>
      <c r="H4" s="17"/>
      <c r="I4" s="17"/>
      <c r="J4" s="17"/>
      <c r="K4" s="17"/>
      <c r="L4" s="17"/>
      <c r="M4" s="17"/>
      <c r="N4" s="17"/>
      <c r="O4" s="17"/>
      <c r="P4" s="17"/>
      <c r="Q4" s="17"/>
      <c r="R4" s="17"/>
      <c r="S4" s="17"/>
      <c r="T4" s="17"/>
      <c r="U4" s="18"/>
    </row>
    <row r="5" s="293" customFormat="1"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9"/>
    </row>
    <row r="6" s="293" customFormat="1" ht="18" customHeight="1">
      <c r="A6" s="20"/>
      <c r="B6" s="21"/>
      <c r="C6" t="s" s="30">
        <v>11</v>
      </c>
      <c r="D6" s="31"/>
      <c r="E6" s="31"/>
      <c r="F6" s="31"/>
      <c r="G6" s="32">
        <f>'Kap. 1, 2, 3'!G6:H6</f>
      </c>
      <c r="H6" s="32"/>
      <c r="I6" s="33"/>
      <c r="J6" s="33"/>
      <c r="K6" s="33"/>
      <c r="L6" s="33"/>
      <c r="M6" s="33"/>
      <c r="N6" s="33"/>
      <c r="O6" s="33"/>
      <c r="P6" s="33"/>
      <c r="Q6" s="33"/>
      <c r="R6" s="33"/>
      <c r="S6" s="33"/>
      <c r="T6" s="33"/>
      <c r="U6" s="34"/>
    </row>
    <row r="8" s="294" customFormat="1" ht="21" customHeight="1">
      <c r="A8" s="36"/>
      <c r="B8" s="295"/>
      <c r="C8" t="s" s="38">
        <v>338</v>
      </c>
      <c r="D8" s="39"/>
      <c r="E8" s="39"/>
      <c r="F8" s="39"/>
      <c r="G8" s="39"/>
      <c r="H8" s="39"/>
      <c r="I8" s="39"/>
      <c r="J8" s="39"/>
      <c r="K8" s="39"/>
      <c r="L8" s="39"/>
      <c r="M8" s="39"/>
      <c r="N8" s="39"/>
      <c r="O8" s="39"/>
      <c r="P8" s="39"/>
      <c r="Q8" s="39"/>
      <c r="R8" s="39"/>
      <c r="S8" s="39"/>
      <c r="T8" s="39"/>
      <c r="U8" s="39"/>
    </row>
    <row r="10" s="291" customFormat="1" ht="18.75" customHeight="1">
      <c r="C10" t="s" s="180">
        <v>339</v>
      </c>
      <c r="D10" s="181"/>
      <c r="E10" s="181"/>
      <c r="F10" s="181"/>
      <c r="G10" s="181"/>
      <c r="H10" s="181"/>
      <c r="I10" s="181"/>
      <c r="J10" s="181"/>
      <c r="K10" s="181"/>
      <c r="L10" s="181"/>
      <c r="M10" s="181"/>
      <c r="N10" s="181"/>
      <c r="O10" s="181"/>
      <c r="P10" s="181"/>
      <c r="Q10" s="181"/>
      <c r="R10" s="181"/>
      <c r="S10" s="181"/>
      <c r="T10" s="181"/>
      <c r="U10" s="231"/>
    </row>
    <row r="12" s="291" customFormat="1" ht="25.5" customHeight="1">
      <c r="C12" t="s" s="296">
        <v>340</v>
      </c>
      <c r="D12" s="297"/>
      <c r="E12" t="s" s="298">
        <v>341</v>
      </c>
      <c r="F12" s="299"/>
      <c r="G12" s="299"/>
      <c r="H12" s="299"/>
      <c r="I12" s="299"/>
      <c r="J12" s="299"/>
      <c r="K12" s="299"/>
      <c r="L12" s="299"/>
      <c r="M12" s="299"/>
      <c r="N12" s="299"/>
      <c r="O12" s="299"/>
      <c r="P12" s="299"/>
      <c r="Q12" s="299"/>
      <c r="R12" s="300"/>
      <c r="S12" t="s" s="301">
        <v>123</v>
      </c>
      <c r="T12" s="302"/>
      <c r="U12" s="303"/>
    </row>
    <row r="13" s="291" customFormat="1" ht="25.5" customHeight="1">
      <c r="C13" t="s" s="304">
        <v>103</v>
      </c>
      <c r="D13" s="305"/>
      <c r="E13" t="s" s="306">
        <v>342</v>
      </c>
      <c r="F13" s="307"/>
      <c r="G13" s="307"/>
      <c r="H13" s="307"/>
      <c r="I13" s="307"/>
      <c r="J13" s="307"/>
      <c r="K13" s="307"/>
      <c r="L13" s="307"/>
      <c r="M13" s="307"/>
      <c r="N13" s="307"/>
      <c r="O13" s="307"/>
      <c r="P13" s="307"/>
      <c r="Q13" s="307"/>
      <c r="R13" s="308"/>
      <c r="S13" s="269">
        <f>'Modul 1'!T24</f>
        <v>0</v>
      </c>
      <c r="T13" s="270"/>
      <c r="U13" s="283"/>
    </row>
    <row r="14" s="291" customFormat="1" ht="25.5" customHeight="1">
      <c r="C14" t="s" s="304">
        <v>131</v>
      </c>
      <c r="D14" s="305"/>
      <c r="E14" t="s" s="306">
        <v>343</v>
      </c>
      <c r="F14" s="307"/>
      <c r="G14" s="307"/>
      <c r="H14" s="307"/>
      <c r="I14" s="307"/>
      <c r="J14" s="307"/>
      <c r="K14" s="307"/>
      <c r="L14" s="307"/>
      <c r="M14" s="307"/>
      <c r="N14" s="307"/>
      <c r="O14" s="307"/>
      <c r="P14" s="307"/>
      <c r="Q14" s="307"/>
      <c r="R14" s="308"/>
      <c r="S14" s="269">
        <f>'Modul 2'!T28</f>
        <v>0</v>
      </c>
      <c r="T14" s="270"/>
      <c r="U14" s="283"/>
    </row>
    <row r="15" s="291" customFormat="1" ht="25.5" customHeight="1">
      <c r="C15" t="s" s="304">
        <v>164</v>
      </c>
      <c r="D15" s="305"/>
      <c r="E15" t="s" s="306">
        <v>344</v>
      </c>
      <c r="F15" s="307"/>
      <c r="G15" s="307"/>
      <c r="H15" s="307"/>
      <c r="I15" s="307"/>
      <c r="J15" s="307"/>
      <c r="K15" s="307"/>
      <c r="L15" s="307"/>
      <c r="M15" s="307"/>
      <c r="N15" s="307"/>
      <c r="O15" s="307"/>
      <c r="P15" s="307"/>
      <c r="Q15" s="307"/>
      <c r="R15" s="308"/>
      <c r="S15" s="269">
        <f>'Modul 3'!T30</f>
        <v>0</v>
      </c>
      <c r="T15" s="270"/>
      <c r="U15" s="283"/>
    </row>
    <row r="16" s="291" customFormat="1" ht="25.5" customHeight="1">
      <c r="C16" t="s" s="304">
        <v>201</v>
      </c>
      <c r="D16" s="305"/>
      <c r="E16" t="s" s="306">
        <v>345</v>
      </c>
      <c r="F16" s="307"/>
      <c r="G16" s="307"/>
      <c r="H16" s="307"/>
      <c r="I16" s="307"/>
      <c r="J16" s="307"/>
      <c r="K16" s="307"/>
      <c r="L16" s="307"/>
      <c r="M16" s="307"/>
      <c r="N16" s="307"/>
      <c r="O16" s="307"/>
      <c r="P16" s="307"/>
      <c r="Q16" s="307"/>
      <c r="R16" s="308"/>
      <c r="S16" s="269">
        <f>'Modul 4'!T32</f>
        <v>0</v>
      </c>
      <c r="T16" s="270"/>
      <c r="U16" s="283"/>
    </row>
    <row r="17" s="291" customFormat="1" ht="33.95" customHeight="1">
      <c r="C17" t="s" s="304">
        <v>263</v>
      </c>
      <c r="D17" s="305"/>
      <c r="E17" t="s" s="306">
        <v>346</v>
      </c>
      <c r="F17" s="307"/>
      <c r="G17" s="307"/>
      <c r="H17" s="307"/>
      <c r="I17" s="307"/>
      <c r="J17" s="307"/>
      <c r="K17" s="307"/>
      <c r="L17" s="307"/>
      <c r="M17" s="307"/>
      <c r="N17" s="307"/>
      <c r="O17" s="307"/>
      <c r="P17" s="307"/>
      <c r="Q17" s="307"/>
      <c r="R17" s="308"/>
      <c r="S17" s="269">
        <f>'Modul 5'!T55</f>
        <v>0</v>
      </c>
      <c r="T17" s="270"/>
      <c r="U17" s="283"/>
    </row>
    <row r="18" s="291" customFormat="1" ht="25.5" customHeight="1">
      <c r="C18" t="s" s="304">
        <v>318</v>
      </c>
      <c r="D18" s="305"/>
      <c r="E18" t="s" s="306">
        <v>347</v>
      </c>
      <c r="F18" s="307"/>
      <c r="G18" s="307"/>
      <c r="H18" s="307"/>
      <c r="I18" s="307"/>
      <c r="J18" s="307"/>
      <c r="K18" s="307"/>
      <c r="L18" s="307"/>
      <c r="M18" s="307"/>
      <c r="N18" s="307"/>
      <c r="O18" s="307"/>
      <c r="P18" s="307"/>
      <c r="Q18" s="307"/>
      <c r="R18" s="308"/>
      <c r="S18" s="269">
        <f>'Modul 6'!T23</f>
        <v>0</v>
      </c>
      <c r="T18" s="270"/>
      <c r="U18" s="283"/>
    </row>
    <row r="20" s="291" customFormat="1" ht="15" customHeight="1">
      <c r="A20" s="13"/>
      <c r="B20" s="11"/>
      <c r="R20" t="s" s="217">
        <v>348</v>
      </c>
      <c r="S20" s="269">
        <f>S13+S16+S17+S18+MAX(S14:U15)</f>
        <v>0</v>
      </c>
      <c r="T20" s="213"/>
      <c r="U20" s="211"/>
    </row>
    <row r="22" s="291" customFormat="1" ht="24.95" customHeight="1">
      <c r="C22" t="s" s="309">
        <v>349</v>
      </c>
      <c r="D22" s="307"/>
      <c r="E22" s="307"/>
      <c r="F22" s="307"/>
      <c r="G22" s="307"/>
      <c r="H22" s="307"/>
      <c r="I22" s="307"/>
      <c r="J22" s="307"/>
      <c r="K22" s="307"/>
      <c r="L22" s="307"/>
      <c r="M22" s="307"/>
      <c r="N22" s="307"/>
      <c r="O22" s="307"/>
      <c r="P22" s="307"/>
      <c r="Q22" s="307"/>
      <c r="R22" s="308"/>
      <c r="S22" t="s" s="310">
        <f>IF('Modul 1'!V22=1,"ja","nein")</f>
        <v>350</v>
      </c>
      <c r="T22" s="213"/>
      <c r="U22" s="211"/>
    </row>
    <row r="24" s="291" customFormat="1" ht="15.75" customHeight="1">
      <c r="A24" t="s" s="95">
        <v>270</v>
      </c>
      <c r="B24" s="96">
        <v>1</v>
      </c>
      <c r="C24" t="s" s="97">
        <f>CONCATENATE(A24,B24)</f>
        <v>271</v>
      </c>
      <c r="D24" t="s" s="41">
        <v>351</v>
      </c>
      <c r="E24" s="42"/>
      <c r="F24" s="42"/>
      <c r="G24" s="42"/>
      <c r="H24" s="42"/>
      <c r="I24" s="42"/>
      <c r="J24" s="42"/>
      <c r="K24" s="42"/>
      <c r="L24" s="42"/>
      <c r="M24" s="42"/>
    </row>
    <row r="26" s="291" customFormat="1" ht="18.75" customHeight="1">
      <c r="C26" t="s" s="180">
        <v>352</v>
      </c>
      <c r="D26" s="181"/>
      <c r="E26" s="181"/>
      <c r="F26" s="181"/>
      <c r="G26" s="181"/>
      <c r="H26" s="181"/>
      <c r="I26" s="181"/>
      <c r="J26" s="181"/>
      <c r="K26" s="181"/>
      <c r="L26" s="181"/>
      <c r="M26" s="181"/>
      <c r="N26" s="181"/>
      <c r="O26" s="181"/>
      <c r="P26" s="181"/>
      <c r="Q26" s="181"/>
      <c r="R26" s="181"/>
      <c r="S26" s="181"/>
      <c r="T26" s="181"/>
      <c r="U26" s="231"/>
    </row>
    <row r="28" s="291" customFormat="1" ht="25.5" customHeight="1">
      <c r="C28" t="s" s="301">
        <v>112</v>
      </c>
      <c r="D28" s="302"/>
      <c r="E28" s="303"/>
      <c r="F28" t="s" s="301">
        <v>352</v>
      </c>
      <c r="G28" s="302"/>
      <c r="H28" s="303"/>
      <c r="I28" t="s" s="311">
        <v>353</v>
      </c>
      <c r="J28" s="299"/>
      <c r="K28" s="299"/>
      <c r="L28" s="299"/>
      <c r="M28" s="299"/>
      <c r="N28" s="299"/>
      <c r="O28" s="299"/>
      <c r="P28" s="299"/>
      <c r="Q28" s="299"/>
      <c r="R28" s="300"/>
      <c r="S28" t="s" s="301">
        <v>354</v>
      </c>
      <c r="T28" s="302"/>
      <c r="U28" s="303"/>
      <c r="V28" s="312"/>
      <c r="W28" s="295"/>
      <c r="X28" s="295"/>
      <c r="Y28" s="295"/>
      <c r="Z28" s="295"/>
      <c r="AA28" s="295"/>
      <c r="AB28" s="295"/>
      <c r="AC28" s="295"/>
      <c r="AD28" s="295"/>
      <c r="AE28" s="295"/>
      <c r="AF28" s="295"/>
      <c r="AG28" s="295"/>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5"/>
      <c r="BK28" s="295"/>
      <c r="BL28" s="295"/>
      <c r="BM28" s="295"/>
      <c r="BN28" s="295"/>
      <c r="BO28" s="295"/>
      <c r="BP28" s="295"/>
      <c r="BQ28" s="295"/>
      <c r="BR28" s="295"/>
      <c r="BS28" s="295"/>
      <c r="BT28" s="295"/>
      <c r="BU28" s="295"/>
      <c r="BV28" s="295"/>
      <c r="BW28" s="295"/>
      <c r="BX28" s="295"/>
      <c r="BY28" s="295"/>
      <c r="BZ28" s="295"/>
      <c r="CA28" s="295"/>
      <c r="CB28" s="295"/>
      <c r="CC28" s="295"/>
      <c r="CD28" s="295"/>
      <c r="CE28" s="295"/>
      <c r="CF28" s="295"/>
      <c r="CG28" s="295"/>
      <c r="CH28" s="295"/>
      <c r="CI28" s="295"/>
      <c r="CJ28" s="295"/>
      <c r="CK28" s="295"/>
      <c r="CL28" s="295"/>
      <c r="CM28" s="295"/>
      <c r="CN28" s="295"/>
      <c r="CO28" s="295"/>
      <c r="CP28" s="295"/>
      <c r="CQ28" s="295"/>
      <c r="CR28" s="295"/>
      <c r="CS28" s="295"/>
      <c r="CT28" s="295"/>
      <c r="CU28" s="295"/>
      <c r="CV28" s="295"/>
      <c r="CW28" s="295"/>
      <c r="CX28" s="295"/>
      <c r="CY28" s="295"/>
      <c r="CZ28" s="295"/>
      <c r="DA28" s="295"/>
      <c r="DB28" s="295"/>
      <c r="DC28" s="295"/>
      <c r="DD28" s="295"/>
      <c r="DE28" s="295"/>
      <c r="DF28" s="295"/>
      <c r="DG28" s="295"/>
      <c r="DH28" s="295"/>
      <c r="DI28" s="295"/>
      <c r="DJ28" s="295"/>
      <c r="DK28" s="295"/>
      <c r="DL28" s="295"/>
      <c r="DM28" s="295"/>
      <c r="DN28" s="295"/>
      <c r="DO28" s="295"/>
      <c r="DP28" s="295"/>
      <c r="DQ28" s="295"/>
      <c r="DR28" s="295"/>
      <c r="DS28" s="295"/>
      <c r="DT28" s="295"/>
      <c r="DU28" s="295"/>
      <c r="DV28" s="295"/>
      <c r="DW28" s="295"/>
      <c r="DX28" s="295"/>
      <c r="DY28" s="295"/>
      <c r="DZ28" s="295"/>
      <c r="EA28" s="295"/>
      <c r="EB28" s="295"/>
      <c r="EC28" s="295"/>
      <c r="ED28" s="295"/>
      <c r="EE28" s="295"/>
      <c r="EF28" s="295"/>
      <c r="EG28" s="295"/>
      <c r="EH28" s="295"/>
      <c r="EI28" s="295"/>
      <c r="EJ28" s="295"/>
      <c r="EK28" s="295"/>
      <c r="EL28" s="295"/>
      <c r="EM28" s="295"/>
      <c r="EN28" s="295"/>
      <c r="EO28" s="295"/>
      <c r="EP28" s="295"/>
      <c r="EQ28" s="295"/>
      <c r="ER28" s="295"/>
      <c r="ES28" s="295"/>
      <c r="ET28" s="295"/>
      <c r="EU28" s="295"/>
      <c r="EV28" s="295"/>
      <c r="EW28" s="295"/>
      <c r="EX28" s="295"/>
      <c r="EY28" s="295"/>
      <c r="EZ28" s="295"/>
      <c r="FA28" s="295"/>
      <c r="FB28" s="295"/>
      <c r="FC28" s="295"/>
      <c r="FD28" s="295"/>
      <c r="FE28" s="295"/>
      <c r="FF28" s="295"/>
      <c r="FG28" s="295"/>
      <c r="FH28" s="295"/>
      <c r="FI28" s="295"/>
      <c r="FJ28" s="295"/>
      <c r="FK28" s="295"/>
      <c r="FL28" s="295"/>
      <c r="FM28" s="295"/>
      <c r="FN28" s="295"/>
      <c r="FO28" s="295"/>
      <c r="FP28" s="295"/>
      <c r="FQ28" s="295"/>
      <c r="FR28" s="295"/>
      <c r="FS28" s="295"/>
      <c r="FT28" s="295"/>
      <c r="FU28" s="295"/>
      <c r="FV28" s="295"/>
      <c r="FW28" s="295"/>
      <c r="FX28" s="295"/>
      <c r="FY28" s="295"/>
      <c r="FZ28" s="295"/>
      <c r="GA28" s="295"/>
      <c r="GB28" s="295"/>
      <c r="GC28" s="295"/>
      <c r="GD28" s="295"/>
      <c r="GE28" s="295"/>
      <c r="GF28" s="295"/>
      <c r="GG28" s="295"/>
      <c r="GH28" s="295"/>
      <c r="GI28" s="295"/>
      <c r="GJ28" s="295"/>
      <c r="GK28" s="295"/>
      <c r="GL28" s="295"/>
      <c r="GM28" s="295"/>
      <c r="GN28" s="295"/>
      <c r="GO28" s="295"/>
      <c r="GP28" s="295"/>
      <c r="GQ28" s="295"/>
      <c r="GR28" s="295"/>
      <c r="GS28" s="295"/>
      <c r="GT28" s="295"/>
      <c r="GU28" s="295"/>
      <c r="GV28" s="295"/>
      <c r="GW28" s="295"/>
      <c r="GX28" s="295"/>
      <c r="GY28" s="295"/>
      <c r="GZ28" s="295"/>
      <c r="HA28" s="295"/>
      <c r="HB28" s="295"/>
      <c r="HC28" s="295"/>
      <c r="HD28" s="295"/>
      <c r="HE28" s="295"/>
      <c r="HF28" s="295"/>
      <c r="HG28" s="295"/>
      <c r="HH28" s="295"/>
      <c r="HI28" s="295"/>
      <c r="HJ28" s="295"/>
      <c r="HK28" s="295"/>
      <c r="HL28" s="295"/>
      <c r="HM28" s="295"/>
      <c r="HN28" s="295"/>
      <c r="HO28" s="295"/>
      <c r="HP28" s="295"/>
      <c r="HQ28" s="295"/>
      <c r="HR28" s="295"/>
      <c r="HS28" s="295"/>
      <c r="HT28" s="295"/>
      <c r="HU28" s="295"/>
      <c r="HV28" s="295"/>
      <c r="HW28" s="295"/>
      <c r="HX28" s="295"/>
      <c r="HY28" s="295"/>
      <c r="HZ28" s="295"/>
      <c r="IA28" s="295"/>
      <c r="IB28" s="295"/>
      <c r="IC28" s="295"/>
      <c r="ID28" s="295"/>
      <c r="IE28" s="295"/>
      <c r="IF28" s="295"/>
      <c r="IG28" s="295"/>
      <c r="IH28" s="295"/>
      <c r="II28" s="295"/>
      <c r="IJ28" s="295"/>
      <c r="IK28" s="295"/>
      <c r="IL28" s="295"/>
      <c r="IM28" s="295"/>
      <c r="IN28" s="295"/>
      <c r="IO28" s="295"/>
      <c r="IP28" s="295"/>
      <c r="IQ28" s="295"/>
      <c r="IR28" s="295"/>
      <c r="IS28" s="295"/>
      <c r="IT28" s="295"/>
      <c r="IU28" s="295"/>
      <c r="IV28" s="295"/>
      <c r="IW28" s="295"/>
      <c r="IX28" s="295"/>
      <c r="IY28" s="295"/>
      <c r="IZ28" s="295"/>
      <c r="JA28" s="295"/>
      <c r="JB28" s="295"/>
      <c r="JC28" s="295"/>
      <c r="JD28" s="295"/>
      <c r="JE28" s="295"/>
      <c r="JF28" s="295"/>
      <c r="JG28" s="295"/>
      <c r="JH28" s="295"/>
      <c r="JI28" s="295"/>
      <c r="JJ28" s="295"/>
      <c r="JK28" s="295"/>
      <c r="JL28" s="295"/>
      <c r="JM28" s="295"/>
      <c r="JN28" s="295"/>
      <c r="JO28" s="295"/>
      <c r="JP28" s="295"/>
      <c r="JQ28" s="295"/>
      <c r="JR28" s="295"/>
      <c r="JS28" s="295"/>
      <c r="JT28" s="295"/>
      <c r="JU28" s="295"/>
      <c r="JV28" s="295"/>
      <c r="JW28" s="295"/>
      <c r="JX28" s="295"/>
      <c r="JY28" s="295"/>
      <c r="JZ28" s="295"/>
      <c r="KA28" s="295"/>
      <c r="KB28" s="295"/>
      <c r="KC28" s="295"/>
      <c r="KD28" s="295"/>
      <c r="KE28" s="295"/>
      <c r="KF28" s="295"/>
      <c r="KG28" s="295"/>
      <c r="KH28" s="295"/>
      <c r="KI28" s="295"/>
      <c r="KJ28" s="295"/>
      <c r="KK28" s="295"/>
      <c r="KL28" s="295"/>
      <c r="KM28" s="295"/>
      <c r="KN28" s="295"/>
      <c r="KO28" s="295"/>
      <c r="KP28" s="295"/>
      <c r="KQ28" s="295"/>
      <c r="KR28" s="295"/>
      <c r="KS28" s="295"/>
      <c r="KT28" s="295"/>
      <c r="KU28" s="295"/>
      <c r="KV28" s="295"/>
      <c r="KW28" s="295"/>
      <c r="KX28" s="295"/>
      <c r="KY28" s="295"/>
      <c r="KZ28" s="295"/>
      <c r="LA28" s="295"/>
      <c r="LB28" s="295"/>
      <c r="LC28" s="295"/>
      <c r="LD28" s="295"/>
      <c r="LE28" s="295"/>
      <c r="LF28" s="295"/>
      <c r="LG28" s="295"/>
      <c r="LH28" s="295"/>
      <c r="LI28" s="295"/>
      <c r="LJ28" s="295"/>
      <c r="LK28" s="295"/>
      <c r="LL28" s="295"/>
      <c r="LM28" s="295"/>
      <c r="LN28" s="295"/>
      <c r="LO28" s="295"/>
      <c r="LP28" s="295"/>
      <c r="LQ28" s="295"/>
      <c r="LR28" s="295"/>
      <c r="LS28" s="295"/>
      <c r="LT28" s="295"/>
      <c r="LU28" s="295"/>
      <c r="LV28" s="295"/>
      <c r="LW28" s="295"/>
      <c r="LX28" s="295"/>
      <c r="LY28" s="295"/>
      <c r="LZ28" s="295"/>
      <c r="MA28" s="295"/>
      <c r="MB28" s="295"/>
      <c r="MC28" s="295"/>
      <c r="MD28" s="295"/>
      <c r="ME28" s="295"/>
      <c r="MF28" s="295"/>
      <c r="MG28" s="295"/>
      <c r="MH28" s="295"/>
      <c r="MI28" s="295"/>
      <c r="MJ28" s="295"/>
      <c r="MK28" s="295"/>
      <c r="ML28" s="295"/>
      <c r="MM28" s="295"/>
      <c r="MN28" s="295"/>
      <c r="MO28" s="295"/>
      <c r="MP28" s="295"/>
      <c r="MQ28" s="295"/>
      <c r="MR28" s="295"/>
      <c r="MS28" s="295"/>
      <c r="MT28" s="295"/>
      <c r="MU28" s="295"/>
      <c r="MV28" s="295"/>
      <c r="MW28" s="295"/>
      <c r="MX28" s="295"/>
      <c r="MY28" s="295"/>
      <c r="MZ28" s="295"/>
      <c r="NA28" s="295"/>
      <c r="NB28" s="295"/>
      <c r="NC28" s="295"/>
      <c r="ND28" s="295"/>
      <c r="NE28" s="295"/>
      <c r="NF28" s="295"/>
      <c r="NG28" s="295"/>
      <c r="NH28" s="295"/>
      <c r="NI28" s="295"/>
      <c r="NJ28" s="295"/>
      <c r="NK28" s="295"/>
      <c r="NL28" s="295"/>
      <c r="NM28" s="295"/>
      <c r="NN28" s="295"/>
      <c r="NO28" s="295"/>
      <c r="NP28" s="295"/>
      <c r="NQ28" s="295"/>
      <c r="NR28" s="295"/>
      <c r="NS28" s="295"/>
      <c r="NT28" s="295"/>
      <c r="NU28" s="295"/>
      <c r="NV28" s="295"/>
      <c r="NW28" s="295"/>
      <c r="NX28" s="295"/>
      <c r="NY28" s="295"/>
      <c r="NZ28" s="295"/>
      <c r="OA28" s="295"/>
      <c r="OB28" s="295"/>
      <c r="OC28" s="295"/>
      <c r="OD28" s="295"/>
      <c r="OE28" s="295"/>
      <c r="OF28" s="295"/>
      <c r="OG28" s="295"/>
      <c r="OH28" s="295"/>
      <c r="OI28" s="295"/>
      <c r="OJ28" s="295"/>
      <c r="OK28" s="295"/>
      <c r="OL28" s="295"/>
      <c r="OM28" s="295"/>
      <c r="ON28" s="295"/>
      <c r="OO28" s="295"/>
      <c r="OP28" s="295"/>
      <c r="OQ28" s="295"/>
      <c r="OR28" s="295"/>
      <c r="OS28" s="295"/>
      <c r="OT28" s="295"/>
      <c r="OU28" s="295"/>
      <c r="OV28" s="295"/>
      <c r="OW28" s="295"/>
      <c r="OX28" s="295"/>
      <c r="OY28" s="295"/>
      <c r="OZ28" s="295"/>
      <c r="PA28" s="295"/>
      <c r="PB28" s="295"/>
      <c r="PC28" s="295"/>
      <c r="PD28" s="295"/>
      <c r="PE28" s="295"/>
      <c r="PF28" s="295"/>
      <c r="PG28" s="295"/>
      <c r="PH28" s="295"/>
      <c r="PI28" s="295"/>
      <c r="PJ28" s="295"/>
      <c r="PK28" s="295"/>
      <c r="PL28" s="295"/>
      <c r="PM28" s="295"/>
      <c r="PN28" s="295"/>
      <c r="PO28" s="295"/>
      <c r="PP28" s="295"/>
      <c r="PQ28" s="295"/>
      <c r="PR28" s="295"/>
      <c r="PS28" s="295"/>
      <c r="PT28" s="295"/>
      <c r="PU28" s="295"/>
      <c r="PV28" s="295"/>
      <c r="PW28" s="295"/>
      <c r="PX28" s="295"/>
      <c r="PY28" s="295"/>
      <c r="PZ28" s="295"/>
      <c r="QA28" s="295"/>
      <c r="QB28" s="295"/>
      <c r="QC28" s="295"/>
      <c r="QD28" s="295"/>
      <c r="QE28" s="295"/>
      <c r="QF28" s="295"/>
      <c r="QG28" s="295"/>
      <c r="QH28" s="295"/>
      <c r="QI28" s="295"/>
      <c r="QJ28" s="295"/>
      <c r="QK28" s="295"/>
      <c r="QL28" s="295"/>
      <c r="QM28" s="295"/>
      <c r="QN28" s="295"/>
      <c r="QO28" s="295"/>
      <c r="QP28" s="295"/>
      <c r="QQ28" s="295"/>
      <c r="QR28" s="295"/>
      <c r="QS28" s="295"/>
      <c r="QT28" s="295"/>
      <c r="QU28" s="295"/>
      <c r="QV28" s="295"/>
      <c r="QW28" s="295"/>
      <c r="QX28" s="295"/>
      <c r="QY28" s="295"/>
      <c r="QZ28" s="295"/>
      <c r="RA28" s="295"/>
      <c r="RB28" s="295"/>
      <c r="RC28" s="295"/>
      <c r="RD28" s="295"/>
      <c r="RE28" s="295"/>
      <c r="RF28" s="295"/>
      <c r="RG28" s="295"/>
      <c r="RH28" s="295"/>
      <c r="RI28" s="295"/>
      <c r="RJ28" s="295"/>
      <c r="RK28" s="295"/>
      <c r="RL28" s="295"/>
      <c r="RM28" s="295"/>
      <c r="RN28" s="295"/>
      <c r="RO28" s="295"/>
      <c r="RP28" s="295"/>
      <c r="RQ28" s="295"/>
      <c r="RR28" s="295"/>
      <c r="RS28" s="295"/>
      <c r="RT28" s="295"/>
      <c r="RU28" s="295"/>
      <c r="RV28" s="295"/>
      <c r="RW28" s="295"/>
      <c r="RX28" s="295"/>
      <c r="RY28" s="295"/>
      <c r="RZ28" s="295"/>
      <c r="SA28" s="295"/>
      <c r="SB28" s="295"/>
      <c r="SC28" s="295"/>
      <c r="SD28" s="295"/>
      <c r="SE28" s="295"/>
      <c r="SF28" s="295"/>
      <c r="SG28" s="295"/>
      <c r="SH28" s="295"/>
      <c r="SI28" s="295"/>
      <c r="SJ28" s="295"/>
      <c r="SK28" s="295"/>
      <c r="SL28" s="295"/>
      <c r="SM28" s="295"/>
      <c r="SN28" s="295"/>
      <c r="SO28" s="295"/>
      <c r="SP28" s="295"/>
      <c r="SQ28" s="295"/>
      <c r="SR28" s="295"/>
      <c r="SS28" s="295"/>
      <c r="ST28" s="295"/>
      <c r="SU28" s="295"/>
      <c r="SV28" s="295"/>
      <c r="SW28" s="295"/>
      <c r="SX28" s="295"/>
      <c r="SY28" s="295"/>
      <c r="SZ28" s="295"/>
      <c r="TA28" s="295"/>
      <c r="TB28" s="295"/>
      <c r="TC28" s="295"/>
      <c r="TD28" s="295"/>
      <c r="TE28" s="295"/>
      <c r="TF28" s="295"/>
      <c r="TG28" s="295"/>
      <c r="TH28" s="295"/>
      <c r="TI28" s="295"/>
      <c r="TJ28" s="295"/>
      <c r="TK28" s="295"/>
      <c r="TL28" s="295"/>
      <c r="TM28" s="295"/>
      <c r="TN28" s="295"/>
      <c r="TO28" s="295"/>
      <c r="TP28" s="295"/>
      <c r="TQ28" s="295"/>
      <c r="TR28" s="295"/>
      <c r="TS28" s="295"/>
      <c r="TT28" s="295"/>
      <c r="TU28" s="295"/>
      <c r="TV28" s="295"/>
      <c r="TW28" s="295"/>
      <c r="TX28" s="295"/>
      <c r="TY28" s="295"/>
      <c r="TZ28" s="295"/>
      <c r="UA28" s="295"/>
      <c r="UB28" s="295"/>
      <c r="UC28" s="295"/>
      <c r="UD28" s="295"/>
      <c r="UE28" s="295"/>
      <c r="UF28" s="295"/>
      <c r="UG28" s="295"/>
      <c r="UH28" s="295"/>
      <c r="UI28" s="295"/>
      <c r="UJ28" s="295"/>
      <c r="UK28" s="295"/>
      <c r="UL28" s="295"/>
      <c r="UM28" s="295"/>
      <c r="UN28" s="295"/>
      <c r="UO28" s="295"/>
      <c r="UP28" s="295"/>
      <c r="UQ28" s="295"/>
      <c r="UR28" s="295"/>
      <c r="US28" s="295"/>
      <c r="UT28" s="295"/>
      <c r="UU28" s="295"/>
      <c r="UV28" s="295"/>
      <c r="UW28" s="295"/>
      <c r="UX28" s="295"/>
      <c r="UY28" s="295"/>
      <c r="UZ28" s="295"/>
      <c r="VA28" s="295"/>
      <c r="VB28" s="295"/>
      <c r="VC28" s="295"/>
      <c r="VD28" s="295"/>
      <c r="VE28" s="295"/>
      <c r="VF28" s="295"/>
      <c r="VG28" s="295"/>
      <c r="VH28" s="295"/>
      <c r="VI28" s="295"/>
      <c r="VJ28" s="295"/>
      <c r="VK28" s="295"/>
      <c r="VL28" s="295"/>
      <c r="VM28" s="295"/>
      <c r="VN28" s="295"/>
      <c r="VO28" s="295"/>
      <c r="VP28" s="295"/>
      <c r="VQ28" s="295"/>
      <c r="VR28" s="295"/>
      <c r="VS28" s="295"/>
      <c r="VT28" s="295"/>
      <c r="VU28" s="295"/>
      <c r="VV28" s="295"/>
      <c r="VW28" s="295"/>
      <c r="VX28" s="295"/>
      <c r="VY28" s="295"/>
      <c r="VZ28" s="295"/>
      <c r="WA28" s="295"/>
      <c r="WB28" s="295"/>
      <c r="WC28" s="295"/>
      <c r="WD28" s="295"/>
      <c r="WE28" s="295"/>
      <c r="WF28" s="295"/>
      <c r="WG28" s="295"/>
      <c r="WH28" s="295"/>
      <c r="WI28" s="295"/>
      <c r="WJ28" s="295"/>
      <c r="WK28" s="295"/>
      <c r="WL28" s="295"/>
      <c r="WM28" s="295"/>
      <c r="WN28" s="295"/>
      <c r="WO28" s="295"/>
      <c r="WP28" s="295"/>
      <c r="WQ28" s="295"/>
      <c r="WR28" s="295"/>
      <c r="WS28" s="295"/>
      <c r="WT28" s="295"/>
      <c r="WU28" s="295"/>
      <c r="WV28" s="295"/>
      <c r="WW28" s="295"/>
      <c r="WX28" s="295"/>
      <c r="WY28" s="295"/>
      <c r="WZ28" s="295"/>
      <c r="XA28" s="295"/>
      <c r="XB28" s="295"/>
      <c r="XC28" s="295"/>
      <c r="XD28" s="295"/>
      <c r="XE28" s="295"/>
      <c r="XF28" s="295"/>
      <c r="XG28" s="295"/>
      <c r="XH28" s="295"/>
      <c r="XI28" s="295"/>
      <c r="XJ28" s="295"/>
      <c r="XK28" s="295"/>
      <c r="XL28" s="295"/>
      <c r="XM28" s="295"/>
      <c r="XN28" s="295"/>
      <c r="XO28" s="295"/>
      <c r="XP28" s="295"/>
      <c r="XQ28" s="295"/>
      <c r="XR28" s="295"/>
      <c r="XS28" s="295"/>
      <c r="XT28" s="295"/>
      <c r="XU28" s="295"/>
      <c r="XV28" s="295"/>
      <c r="XW28" s="295"/>
      <c r="XX28" s="295"/>
      <c r="XY28" s="295"/>
      <c r="XZ28" s="295"/>
      <c r="YA28" s="295"/>
      <c r="YB28" s="295"/>
      <c r="YC28" s="295"/>
      <c r="YD28" s="295"/>
      <c r="YE28" s="295"/>
      <c r="YF28" s="295"/>
      <c r="YG28" s="295"/>
      <c r="YH28" s="295"/>
      <c r="YI28" s="295"/>
      <c r="YJ28" s="295"/>
      <c r="YK28" s="295"/>
      <c r="YL28" s="295"/>
      <c r="YM28" s="295"/>
      <c r="YN28" s="295"/>
      <c r="YO28" s="295"/>
      <c r="YP28" s="295"/>
      <c r="YQ28" s="295"/>
      <c r="YR28" s="295"/>
      <c r="YS28" s="295"/>
      <c r="YT28" s="295"/>
      <c r="YU28" s="295"/>
      <c r="YV28" s="295"/>
      <c r="YW28" s="295"/>
      <c r="YX28" s="295"/>
      <c r="YY28" s="295"/>
      <c r="YZ28" s="295"/>
      <c r="ZA28" s="295"/>
      <c r="ZB28" s="295"/>
      <c r="ZC28" s="295"/>
      <c r="ZD28" s="295"/>
      <c r="ZE28" s="295"/>
      <c r="ZF28" s="295"/>
      <c r="ZG28" s="295"/>
      <c r="ZH28" s="295"/>
      <c r="ZI28" s="295"/>
      <c r="ZJ28" s="295"/>
      <c r="ZK28" s="295"/>
      <c r="ZL28" s="295"/>
      <c r="ZM28" s="295"/>
      <c r="ZN28" s="295"/>
      <c r="ZO28" s="295"/>
      <c r="ZP28" s="295"/>
      <c r="ZQ28" s="295"/>
      <c r="ZR28" s="295"/>
      <c r="ZS28" s="295"/>
      <c r="ZT28" s="295"/>
      <c r="ZU28" s="295"/>
      <c r="ZV28" s="295"/>
      <c r="ZW28" s="295"/>
      <c r="ZX28" s="295"/>
      <c r="ZY28" s="295"/>
      <c r="ZZ28" s="295"/>
      <c r="AAA28" s="295"/>
      <c r="AAB28" s="295"/>
      <c r="AAC28" s="295"/>
      <c r="AAD28" s="295"/>
      <c r="AAE28" s="295"/>
      <c r="AAF28" s="295"/>
      <c r="AAG28" s="295"/>
      <c r="AAH28" s="295"/>
      <c r="AAI28" s="295"/>
      <c r="AAJ28" s="295"/>
      <c r="AAK28" s="295"/>
      <c r="AAL28" s="295"/>
      <c r="AAM28" s="295"/>
      <c r="AAN28" s="295"/>
      <c r="AAO28" s="295"/>
      <c r="AAP28" s="295"/>
      <c r="AAQ28" s="295"/>
      <c r="AAR28" s="295"/>
      <c r="AAS28" s="295"/>
      <c r="AAT28" s="295"/>
      <c r="AAU28" s="295"/>
      <c r="AAV28" s="295"/>
      <c r="AAW28" s="295"/>
      <c r="AAX28" s="295"/>
      <c r="AAY28" s="295"/>
      <c r="AAZ28" s="295"/>
      <c r="ABA28" s="295"/>
      <c r="ABB28" s="295"/>
      <c r="ABC28" s="295"/>
      <c r="ABD28" s="295"/>
      <c r="ABE28" s="295"/>
      <c r="ABF28" s="295"/>
      <c r="ABG28" s="295"/>
      <c r="ABH28" s="295"/>
      <c r="ABI28" s="295"/>
      <c r="ABJ28" s="295"/>
      <c r="ABK28" s="295"/>
      <c r="ABL28" s="295"/>
      <c r="ABM28" s="295"/>
      <c r="ABN28" s="295"/>
      <c r="ABO28" s="295"/>
      <c r="ABP28" s="295"/>
      <c r="ABQ28" s="295"/>
      <c r="ABR28" s="295"/>
      <c r="ABS28" s="295"/>
      <c r="ABT28" s="295"/>
      <c r="ABU28" s="295"/>
      <c r="ABV28" s="295"/>
      <c r="ABW28" s="295"/>
      <c r="ABX28" s="295"/>
      <c r="ABY28" s="295"/>
      <c r="ABZ28" s="295"/>
      <c r="ACA28" s="295"/>
      <c r="ACB28" s="295"/>
      <c r="ACC28" s="295"/>
      <c r="ACD28" s="295"/>
      <c r="ACE28" s="295"/>
      <c r="ACF28" s="295"/>
      <c r="ACG28" s="295"/>
      <c r="ACH28" s="295"/>
      <c r="ACI28" s="295"/>
      <c r="ACJ28" s="295"/>
      <c r="ACK28" s="295"/>
      <c r="ACL28" s="295"/>
      <c r="ACM28" s="295"/>
      <c r="ACN28" s="295"/>
      <c r="ACO28" s="295"/>
      <c r="ACP28" s="295"/>
      <c r="ACQ28" s="295"/>
      <c r="ACR28" s="295"/>
      <c r="ACS28" s="295"/>
      <c r="ACT28" s="295"/>
      <c r="ACU28" s="295"/>
      <c r="ACV28" s="295"/>
      <c r="ACW28" s="295"/>
      <c r="ACX28" s="295"/>
      <c r="ACY28" s="295"/>
      <c r="ACZ28" s="295"/>
      <c r="ADA28" s="295"/>
      <c r="ADB28" s="295"/>
      <c r="ADC28" s="295"/>
      <c r="ADD28" s="295"/>
      <c r="ADE28" s="295"/>
      <c r="ADF28" s="295"/>
      <c r="ADG28" s="295"/>
      <c r="ADH28" s="295"/>
      <c r="ADI28" s="295"/>
      <c r="ADJ28" s="295"/>
      <c r="ADK28" s="295"/>
      <c r="ADL28" s="295"/>
      <c r="ADM28" s="295"/>
      <c r="ADN28" s="295"/>
      <c r="ADO28" s="295"/>
      <c r="ADP28" s="295"/>
      <c r="ADQ28" s="295"/>
      <c r="ADR28" s="295"/>
      <c r="ADS28" s="295"/>
      <c r="ADT28" s="295"/>
      <c r="ADU28" s="295"/>
      <c r="ADV28" s="295"/>
      <c r="ADW28" s="295"/>
      <c r="ADX28" s="295"/>
      <c r="ADY28" s="295"/>
      <c r="ADZ28" s="295"/>
      <c r="AEA28" s="295"/>
      <c r="AEB28" s="295"/>
      <c r="AEC28" s="295"/>
      <c r="AED28" s="295"/>
      <c r="AEE28" s="295"/>
      <c r="AEF28" s="295"/>
      <c r="AEG28" s="295"/>
      <c r="AEH28" s="295"/>
      <c r="AEI28" s="295"/>
      <c r="AEJ28" s="295"/>
      <c r="AEK28" s="295"/>
      <c r="AEL28" s="295"/>
      <c r="AEM28" s="295"/>
      <c r="AEN28" s="295"/>
      <c r="AEO28" s="295"/>
      <c r="AEP28" s="295"/>
      <c r="AEQ28" s="295"/>
      <c r="AER28" s="295"/>
      <c r="AES28" s="295"/>
      <c r="AET28" s="295"/>
      <c r="AEU28" s="295"/>
      <c r="AEV28" s="295"/>
      <c r="AEW28" s="295"/>
      <c r="AEX28" s="295"/>
      <c r="AEY28" s="295"/>
      <c r="AEZ28" s="295"/>
      <c r="AFA28" s="295"/>
      <c r="AFB28" s="295"/>
      <c r="AFC28" s="295"/>
      <c r="AFD28" s="295"/>
      <c r="AFE28" s="295"/>
      <c r="AFF28" s="295"/>
      <c r="AFG28" s="295"/>
      <c r="AFH28" s="295"/>
      <c r="AFI28" s="295"/>
      <c r="AFJ28" s="295"/>
      <c r="AFK28" s="295"/>
      <c r="AFL28" s="295"/>
      <c r="AFM28" s="295"/>
      <c r="AFN28" s="295"/>
      <c r="AFO28" s="295"/>
      <c r="AFP28" s="295"/>
      <c r="AFQ28" s="295"/>
      <c r="AFR28" s="295"/>
      <c r="AFS28" s="295"/>
      <c r="AFT28" s="295"/>
      <c r="AFU28" s="295"/>
      <c r="AFV28" s="295"/>
      <c r="AFW28" s="295"/>
      <c r="AFX28" s="295"/>
      <c r="AFY28" s="295"/>
      <c r="AFZ28" s="295"/>
      <c r="AGA28" s="295"/>
      <c r="AGB28" s="295"/>
      <c r="AGC28" s="295"/>
      <c r="AGD28" s="295"/>
      <c r="AGE28" s="295"/>
      <c r="AGF28" s="295"/>
      <c r="AGG28" s="295"/>
      <c r="AGH28" s="295"/>
      <c r="AGI28" s="295"/>
      <c r="AGJ28" s="295"/>
      <c r="AGK28" s="295"/>
      <c r="AGL28" s="295"/>
      <c r="AGM28" s="295"/>
      <c r="AGN28" s="295"/>
      <c r="AGO28" s="295"/>
      <c r="AGP28" s="295"/>
      <c r="AGQ28" s="295"/>
      <c r="AGR28" s="295"/>
      <c r="AGS28" s="295"/>
      <c r="AGT28" s="295"/>
      <c r="AGU28" s="295"/>
      <c r="AGV28" s="295"/>
      <c r="AGW28" s="295"/>
      <c r="AGX28" s="295"/>
      <c r="AGY28" s="295"/>
      <c r="AGZ28" s="295"/>
      <c r="AHA28" s="295"/>
      <c r="AHB28" s="295"/>
      <c r="AHC28" s="295"/>
      <c r="AHD28" s="295"/>
      <c r="AHE28" s="295"/>
      <c r="AHF28" s="295"/>
      <c r="AHG28" s="295"/>
      <c r="AHH28" s="295"/>
      <c r="AHI28" s="295"/>
      <c r="AHJ28" s="295"/>
      <c r="AHK28" s="295"/>
      <c r="AHL28" s="295"/>
      <c r="AHM28" s="295"/>
      <c r="AHN28" s="295"/>
      <c r="AHO28" s="295"/>
      <c r="AHP28" s="295"/>
      <c r="AHQ28" s="295"/>
      <c r="AHR28" s="295"/>
      <c r="AHS28" s="295"/>
      <c r="AHT28" s="295"/>
      <c r="AHU28" s="295"/>
      <c r="AHV28" s="295"/>
      <c r="AHW28" s="295"/>
      <c r="AHX28" s="295"/>
      <c r="AHY28" s="295"/>
      <c r="AHZ28" s="295"/>
      <c r="AIA28" s="295"/>
      <c r="AIB28" s="295"/>
      <c r="AIC28" s="295"/>
      <c r="AID28" s="295"/>
      <c r="AIE28" s="295"/>
      <c r="AIF28" s="295"/>
      <c r="AIG28" s="295"/>
      <c r="AIH28" s="295"/>
      <c r="AII28" s="295"/>
      <c r="AIJ28" s="295"/>
      <c r="AIK28" s="295"/>
      <c r="AIL28" s="295"/>
      <c r="AIM28" s="295"/>
      <c r="AIN28" s="295"/>
      <c r="AIO28" s="295"/>
      <c r="AIP28" s="295"/>
      <c r="AIQ28" s="295"/>
      <c r="AIR28" s="295"/>
      <c r="AIS28" s="295"/>
      <c r="AIT28" s="295"/>
      <c r="AIU28" s="295"/>
      <c r="AIV28" s="295"/>
      <c r="AIW28" s="295"/>
      <c r="AIX28" s="295"/>
      <c r="AIY28" s="295"/>
      <c r="AIZ28" s="295"/>
      <c r="AJA28" s="295"/>
      <c r="AJB28" s="295"/>
      <c r="AJC28" s="295"/>
      <c r="AJD28" s="295"/>
      <c r="AJE28" s="295"/>
      <c r="AJF28" s="295"/>
      <c r="AJG28" s="295"/>
      <c r="AJH28" s="295"/>
      <c r="AJI28" s="295"/>
      <c r="AJJ28" s="295"/>
      <c r="AJK28" s="295"/>
      <c r="AJL28" s="295"/>
      <c r="AJM28" s="295"/>
      <c r="AJN28" s="295"/>
      <c r="AJO28" s="295"/>
      <c r="AJP28" s="295"/>
      <c r="AJQ28" s="295"/>
      <c r="AJR28" s="295"/>
      <c r="AJS28" s="295"/>
      <c r="AJT28" s="295"/>
      <c r="AJU28" s="295"/>
      <c r="AJV28" s="295"/>
      <c r="AJW28" s="295"/>
      <c r="AJX28" s="295"/>
      <c r="AJY28" s="295"/>
      <c r="AJZ28" s="295"/>
      <c r="AKA28" s="295"/>
      <c r="AKB28" s="295"/>
      <c r="AKC28" s="295"/>
      <c r="AKD28" s="295"/>
      <c r="AKE28" s="295"/>
      <c r="AKF28" s="295"/>
      <c r="AKG28" s="295"/>
      <c r="AKH28" s="295"/>
      <c r="AKI28" s="295"/>
      <c r="AKJ28" s="295"/>
      <c r="AKK28" s="295"/>
      <c r="AKL28" s="295"/>
      <c r="AKM28" s="295"/>
      <c r="AKN28" s="295"/>
      <c r="AKO28" s="295"/>
      <c r="AKP28" s="295"/>
      <c r="AKQ28" s="295"/>
      <c r="AKR28" s="295"/>
      <c r="AKS28" s="295"/>
      <c r="AKT28" s="295"/>
      <c r="AKU28" s="295"/>
      <c r="AKV28" s="295"/>
      <c r="AKW28" s="295"/>
      <c r="AKX28" s="295"/>
      <c r="AKY28" s="295"/>
      <c r="AKZ28" s="295"/>
      <c r="ALA28" s="295"/>
      <c r="ALB28" s="295"/>
      <c r="ALC28" s="295"/>
      <c r="ALD28" s="295"/>
      <c r="ALE28" s="295"/>
      <c r="ALF28" s="295"/>
      <c r="ALG28" s="295"/>
      <c r="ALH28" s="295"/>
      <c r="ALI28" s="295"/>
      <c r="ALJ28" s="295"/>
      <c r="ALK28" s="295"/>
      <c r="ALL28" s="313"/>
    </row>
    <row r="29" s="291" customFormat="1" ht="25.5" customHeight="1">
      <c r="C29" t="s" s="310">
        <v>355</v>
      </c>
      <c r="D29" s="213"/>
      <c r="E29" s="211"/>
      <c r="F29" t="s" s="310">
        <v>356</v>
      </c>
      <c r="G29" s="213"/>
      <c r="H29" s="211"/>
      <c r="I29" t="s" s="309">
        <v>59</v>
      </c>
      <c r="J29" s="307"/>
      <c r="K29" s="307"/>
      <c r="L29" s="307"/>
      <c r="M29" s="307"/>
      <c r="N29" s="307"/>
      <c r="O29" s="307"/>
      <c r="P29" s="307"/>
      <c r="Q29" s="307"/>
      <c r="R29" s="308"/>
      <c r="S29" t="s" s="310">
        <f>IF(AND($S$20&lt;12.5,$S$22="nein"),F29,"")</f>
        <v>357</v>
      </c>
      <c r="T29" s="213"/>
      <c r="U29" s="211"/>
      <c r="V29" s="312"/>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5"/>
      <c r="BE29" s="295"/>
      <c r="BF29" s="295"/>
      <c r="BG29" s="295"/>
      <c r="BH29" s="295"/>
      <c r="BI29" s="295"/>
      <c r="BJ29" s="295"/>
      <c r="BK29" s="295"/>
      <c r="BL29" s="295"/>
      <c r="BM29" s="295"/>
      <c r="BN29" s="295"/>
      <c r="BO29" s="295"/>
      <c r="BP29" s="295"/>
      <c r="BQ29" s="295"/>
      <c r="BR29" s="295"/>
      <c r="BS29" s="295"/>
      <c r="BT29" s="295"/>
      <c r="BU29" s="295"/>
      <c r="BV29" s="295"/>
      <c r="BW29" s="295"/>
      <c r="BX29" s="295"/>
      <c r="BY29" s="295"/>
      <c r="BZ29" s="295"/>
      <c r="CA29" s="295"/>
      <c r="CB29" s="295"/>
      <c r="CC29" s="295"/>
      <c r="CD29" s="295"/>
      <c r="CE29" s="295"/>
      <c r="CF29" s="295"/>
      <c r="CG29" s="295"/>
      <c r="CH29" s="295"/>
      <c r="CI29" s="295"/>
      <c r="CJ29" s="295"/>
      <c r="CK29" s="295"/>
      <c r="CL29" s="295"/>
      <c r="CM29" s="295"/>
      <c r="CN29" s="295"/>
      <c r="CO29" s="295"/>
      <c r="CP29" s="295"/>
      <c r="CQ29" s="295"/>
      <c r="CR29" s="295"/>
      <c r="CS29" s="295"/>
      <c r="CT29" s="295"/>
      <c r="CU29" s="295"/>
      <c r="CV29" s="295"/>
      <c r="CW29" s="295"/>
      <c r="CX29" s="295"/>
      <c r="CY29" s="295"/>
      <c r="CZ29" s="295"/>
      <c r="DA29" s="295"/>
      <c r="DB29" s="295"/>
      <c r="DC29" s="295"/>
      <c r="DD29" s="295"/>
      <c r="DE29" s="295"/>
      <c r="DF29" s="295"/>
      <c r="DG29" s="295"/>
      <c r="DH29" s="295"/>
      <c r="DI29" s="295"/>
      <c r="DJ29" s="295"/>
      <c r="DK29" s="295"/>
      <c r="DL29" s="295"/>
      <c r="DM29" s="295"/>
      <c r="DN29" s="295"/>
      <c r="DO29" s="295"/>
      <c r="DP29" s="295"/>
      <c r="DQ29" s="295"/>
      <c r="DR29" s="295"/>
      <c r="DS29" s="295"/>
      <c r="DT29" s="295"/>
      <c r="DU29" s="295"/>
      <c r="DV29" s="295"/>
      <c r="DW29" s="295"/>
      <c r="DX29" s="295"/>
      <c r="DY29" s="295"/>
      <c r="DZ29" s="295"/>
      <c r="EA29" s="295"/>
      <c r="EB29" s="295"/>
      <c r="EC29" s="295"/>
      <c r="ED29" s="295"/>
      <c r="EE29" s="295"/>
      <c r="EF29" s="295"/>
      <c r="EG29" s="295"/>
      <c r="EH29" s="295"/>
      <c r="EI29" s="295"/>
      <c r="EJ29" s="295"/>
      <c r="EK29" s="295"/>
      <c r="EL29" s="295"/>
      <c r="EM29" s="295"/>
      <c r="EN29" s="295"/>
      <c r="EO29" s="295"/>
      <c r="EP29" s="295"/>
      <c r="EQ29" s="295"/>
      <c r="ER29" s="295"/>
      <c r="ES29" s="295"/>
      <c r="ET29" s="295"/>
      <c r="EU29" s="295"/>
      <c r="EV29" s="295"/>
      <c r="EW29" s="295"/>
      <c r="EX29" s="295"/>
      <c r="EY29" s="295"/>
      <c r="EZ29" s="295"/>
      <c r="FA29" s="295"/>
      <c r="FB29" s="295"/>
      <c r="FC29" s="295"/>
      <c r="FD29" s="295"/>
      <c r="FE29" s="295"/>
      <c r="FF29" s="295"/>
      <c r="FG29" s="295"/>
      <c r="FH29" s="295"/>
      <c r="FI29" s="295"/>
      <c r="FJ29" s="295"/>
      <c r="FK29" s="295"/>
      <c r="FL29" s="295"/>
      <c r="FM29" s="295"/>
      <c r="FN29" s="295"/>
      <c r="FO29" s="295"/>
      <c r="FP29" s="295"/>
      <c r="FQ29" s="295"/>
      <c r="FR29" s="295"/>
      <c r="FS29" s="295"/>
      <c r="FT29" s="295"/>
      <c r="FU29" s="295"/>
      <c r="FV29" s="295"/>
      <c r="FW29" s="295"/>
      <c r="FX29" s="295"/>
      <c r="FY29" s="295"/>
      <c r="FZ29" s="295"/>
      <c r="GA29" s="295"/>
      <c r="GB29" s="295"/>
      <c r="GC29" s="295"/>
      <c r="GD29" s="295"/>
      <c r="GE29" s="295"/>
      <c r="GF29" s="295"/>
      <c r="GG29" s="295"/>
      <c r="GH29" s="295"/>
      <c r="GI29" s="295"/>
      <c r="GJ29" s="295"/>
      <c r="GK29" s="295"/>
      <c r="GL29" s="295"/>
      <c r="GM29" s="295"/>
      <c r="GN29" s="295"/>
      <c r="GO29" s="295"/>
      <c r="GP29" s="295"/>
      <c r="GQ29" s="295"/>
      <c r="GR29" s="295"/>
      <c r="GS29" s="295"/>
      <c r="GT29" s="295"/>
      <c r="GU29" s="295"/>
      <c r="GV29" s="295"/>
      <c r="GW29" s="295"/>
      <c r="GX29" s="295"/>
      <c r="GY29" s="295"/>
      <c r="GZ29" s="295"/>
      <c r="HA29" s="295"/>
      <c r="HB29" s="295"/>
      <c r="HC29" s="295"/>
      <c r="HD29" s="295"/>
      <c r="HE29" s="295"/>
      <c r="HF29" s="295"/>
      <c r="HG29" s="295"/>
      <c r="HH29" s="295"/>
      <c r="HI29" s="295"/>
      <c r="HJ29" s="295"/>
      <c r="HK29" s="295"/>
      <c r="HL29" s="295"/>
      <c r="HM29" s="295"/>
      <c r="HN29" s="295"/>
      <c r="HO29" s="295"/>
      <c r="HP29" s="295"/>
      <c r="HQ29" s="295"/>
      <c r="HR29" s="295"/>
      <c r="HS29" s="295"/>
      <c r="HT29" s="295"/>
      <c r="HU29" s="295"/>
      <c r="HV29" s="295"/>
      <c r="HW29" s="295"/>
      <c r="HX29" s="295"/>
      <c r="HY29" s="295"/>
      <c r="HZ29" s="295"/>
      <c r="IA29" s="295"/>
      <c r="IB29" s="295"/>
      <c r="IC29" s="295"/>
      <c r="ID29" s="295"/>
      <c r="IE29" s="295"/>
      <c r="IF29" s="295"/>
      <c r="IG29" s="295"/>
      <c r="IH29" s="295"/>
      <c r="II29" s="295"/>
      <c r="IJ29" s="295"/>
      <c r="IK29" s="295"/>
      <c r="IL29" s="295"/>
      <c r="IM29" s="295"/>
      <c r="IN29" s="295"/>
      <c r="IO29" s="295"/>
      <c r="IP29" s="295"/>
      <c r="IQ29" s="295"/>
      <c r="IR29" s="295"/>
      <c r="IS29" s="295"/>
      <c r="IT29" s="295"/>
      <c r="IU29" s="295"/>
      <c r="IV29" s="295"/>
      <c r="IW29" s="295"/>
      <c r="IX29" s="295"/>
      <c r="IY29" s="295"/>
      <c r="IZ29" s="295"/>
      <c r="JA29" s="295"/>
      <c r="JB29" s="295"/>
      <c r="JC29" s="295"/>
      <c r="JD29" s="295"/>
      <c r="JE29" s="295"/>
      <c r="JF29" s="295"/>
      <c r="JG29" s="295"/>
      <c r="JH29" s="295"/>
      <c r="JI29" s="295"/>
      <c r="JJ29" s="295"/>
      <c r="JK29" s="295"/>
      <c r="JL29" s="295"/>
      <c r="JM29" s="295"/>
      <c r="JN29" s="295"/>
      <c r="JO29" s="295"/>
      <c r="JP29" s="295"/>
      <c r="JQ29" s="295"/>
      <c r="JR29" s="295"/>
      <c r="JS29" s="295"/>
      <c r="JT29" s="295"/>
      <c r="JU29" s="295"/>
      <c r="JV29" s="295"/>
      <c r="JW29" s="295"/>
      <c r="JX29" s="295"/>
      <c r="JY29" s="295"/>
      <c r="JZ29" s="295"/>
      <c r="KA29" s="295"/>
      <c r="KB29" s="295"/>
      <c r="KC29" s="295"/>
      <c r="KD29" s="295"/>
      <c r="KE29" s="295"/>
      <c r="KF29" s="295"/>
      <c r="KG29" s="295"/>
      <c r="KH29" s="295"/>
      <c r="KI29" s="295"/>
      <c r="KJ29" s="295"/>
      <c r="KK29" s="295"/>
      <c r="KL29" s="295"/>
      <c r="KM29" s="295"/>
      <c r="KN29" s="295"/>
      <c r="KO29" s="295"/>
      <c r="KP29" s="295"/>
      <c r="KQ29" s="295"/>
      <c r="KR29" s="295"/>
      <c r="KS29" s="295"/>
      <c r="KT29" s="295"/>
      <c r="KU29" s="295"/>
      <c r="KV29" s="295"/>
      <c r="KW29" s="295"/>
      <c r="KX29" s="295"/>
      <c r="KY29" s="295"/>
      <c r="KZ29" s="295"/>
      <c r="LA29" s="295"/>
      <c r="LB29" s="295"/>
      <c r="LC29" s="295"/>
      <c r="LD29" s="295"/>
      <c r="LE29" s="295"/>
      <c r="LF29" s="295"/>
      <c r="LG29" s="295"/>
      <c r="LH29" s="295"/>
      <c r="LI29" s="295"/>
      <c r="LJ29" s="295"/>
      <c r="LK29" s="295"/>
      <c r="LL29" s="295"/>
      <c r="LM29" s="295"/>
      <c r="LN29" s="295"/>
      <c r="LO29" s="295"/>
      <c r="LP29" s="295"/>
      <c r="LQ29" s="295"/>
      <c r="LR29" s="295"/>
      <c r="LS29" s="295"/>
      <c r="LT29" s="295"/>
      <c r="LU29" s="295"/>
      <c r="LV29" s="295"/>
      <c r="LW29" s="295"/>
      <c r="LX29" s="295"/>
      <c r="LY29" s="295"/>
      <c r="LZ29" s="295"/>
      <c r="MA29" s="295"/>
      <c r="MB29" s="295"/>
      <c r="MC29" s="295"/>
      <c r="MD29" s="295"/>
      <c r="ME29" s="295"/>
      <c r="MF29" s="295"/>
      <c r="MG29" s="295"/>
      <c r="MH29" s="295"/>
      <c r="MI29" s="295"/>
      <c r="MJ29" s="295"/>
      <c r="MK29" s="295"/>
      <c r="ML29" s="295"/>
      <c r="MM29" s="295"/>
      <c r="MN29" s="295"/>
      <c r="MO29" s="295"/>
      <c r="MP29" s="295"/>
      <c r="MQ29" s="295"/>
      <c r="MR29" s="295"/>
      <c r="MS29" s="295"/>
      <c r="MT29" s="295"/>
      <c r="MU29" s="295"/>
      <c r="MV29" s="295"/>
      <c r="MW29" s="295"/>
      <c r="MX29" s="295"/>
      <c r="MY29" s="295"/>
      <c r="MZ29" s="295"/>
      <c r="NA29" s="295"/>
      <c r="NB29" s="295"/>
      <c r="NC29" s="295"/>
      <c r="ND29" s="295"/>
      <c r="NE29" s="295"/>
      <c r="NF29" s="295"/>
      <c r="NG29" s="295"/>
      <c r="NH29" s="295"/>
      <c r="NI29" s="295"/>
      <c r="NJ29" s="295"/>
      <c r="NK29" s="295"/>
      <c r="NL29" s="295"/>
      <c r="NM29" s="295"/>
      <c r="NN29" s="295"/>
      <c r="NO29" s="295"/>
      <c r="NP29" s="295"/>
      <c r="NQ29" s="295"/>
      <c r="NR29" s="295"/>
      <c r="NS29" s="295"/>
      <c r="NT29" s="295"/>
      <c r="NU29" s="295"/>
      <c r="NV29" s="295"/>
      <c r="NW29" s="295"/>
      <c r="NX29" s="295"/>
      <c r="NY29" s="295"/>
      <c r="NZ29" s="295"/>
      <c r="OA29" s="295"/>
      <c r="OB29" s="295"/>
      <c r="OC29" s="295"/>
      <c r="OD29" s="295"/>
      <c r="OE29" s="295"/>
      <c r="OF29" s="295"/>
      <c r="OG29" s="295"/>
      <c r="OH29" s="295"/>
      <c r="OI29" s="295"/>
      <c r="OJ29" s="295"/>
      <c r="OK29" s="295"/>
      <c r="OL29" s="295"/>
      <c r="OM29" s="295"/>
      <c r="ON29" s="295"/>
      <c r="OO29" s="295"/>
      <c r="OP29" s="295"/>
      <c r="OQ29" s="295"/>
      <c r="OR29" s="295"/>
      <c r="OS29" s="295"/>
      <c r="OT29" s="295"/>
      <c r="OU29" s="295"/>
      <c r="OV29" s="295"/>
      <c r="OW29" s="295"/>
      <c r="OX29" s="295"/>
      <c r="OY29" s="295"/>
      <c r="OZ29" s="295"/>
      <c r="PA29" s="295"/>
      <c r="PB29" s="295"/>
      <c r="PC29" s="295"/>
      <c r="PD29" s="295"/>
      <c r="PE29" s="295"/>
      <c r="PF29" s="295"/>
      <c r="PG29" s="295"/>
      <c r="PH29" s="295"/>
      <c r="PI29" s="295"/>
      <c r="PJ29" s="295"/>
      <c r="PK29" s="295"/>
      <c r="PL29" s="295"/>
      <c r="PM29" s="295"/>
      <c r="PN29" s="295"/>
      <c r="PO29" s="295"/>
      <c r="PP29" s="295"/>
      <c r="PQ29" s="295"/>
      <c r="PR29" s="295"/>
      <c r="PS29" s="295"/>
      <c r="PT29" s="295"/>
      <c r="PU29" s="295"/>
      <c r="PV29" s="295"/>
      <c r="PW29" s="295"/>
      <c r="PX29" s="295"/>
      <c r="PY29" s="295"/>
      <c r="PZ29" s="295"/>
      <c r="QA29" s="295"/>
      <c r="QB29" s="295"/>
      <c r="QC29" s="295"/>
      <c r="QD29" s="295"/>
      <c r="QE29" s="295"/>
      <c r="QF29" s="295"/>
      <c r="QG29" s="295"/>
      <c r="QH29" s="295"/>
      <c r="QI29" s="295"/>
      <c r="QJ29" s="295"/>
      <c r="QK29" s="295"/>
      <c r="QL29" s="295"/>
      <c r="QM29" s="295"/>
      <c r="QN29" s="295"/>
      <c r="QO29" s="295"/>
      <c r="QP29" s="295"/>
      <c r="QQ29" s="295"/>
      <c r="QR29" s="295"/>
      <c r="QS29" s="295"/>
      <c r="QT29" s="295"/>
      <c r="QU29" s="295"/>
      <c r="QV29" s="295"/>
      <c r="QW29" s="295"/>
      <c r="QX29" s="295"/>
      <c r="QY29" s="295"/>
      <c r="QZ29" s="295"/>
      <c r="RA29" s="295"/>
      <c r="RB29" s="295"/>
      <c r="RC29" s="295"/>
      <c r="RD29" s="295"/>
      <c r="RE29" s="295"/>
      <c r="RF29" s="295"/>
      <c r="RG29" s="295"/>
      <c r="RH29" s="295"/>
      <c r="RI29" s="295"/>
      <c r="RJ29" s="295"/>
      <c r="RK29" s="295"/>
      <c r="RL29" s="295"/>
      <c r="RM29" s="295"/>
      <c r="RN29" s="295"/>
      <c r="RO29" s="295"/>
      <c r="RP29" s="295"/>
      <c r="RQ29" s="295"/>
      <c r="RR29" s="295"/>
      <c r="RS29" s="295"/>
      <c r="RT29" s="295"/>
      <c r="RU29" s="295"/>
      <c r="RV29" s="295"/>
      <c r="RW29" s="295"/>
      <c r="RX29" s="295"/>
      <c r="RY29" s="295"/>
      <c r="RZ29" s="295"/>
      <c r="SA29" s="295"/>
      <c r="SB29" s="295"/>
      <c r="SC29" s="295"/>
      <c r="SD29" s="295"/>
      <c r="SE29" s="295"/>
      <c r="SF29" s="295"/>
      <c r="SG29" s="295"/>
      <c r="SH29" s="295"/>
      <c r="SI29" s="295"/>
      <c r="SJ29" s="295"/>
      <c r="SK29" s="295"/>
      <c r="SL29" s="295"/>
      <c r="SM29" s="295"/>
      <c r="SN29" s="295"/>
      <c r="SO29" s="295"/>
      <c r="SP29" s="295"/>
      <c r="SQ29" s="295"/>
      <c r="SR29" s="295"/>
      <c r="SS29" s="295"/>
      <c r="ST29" s="295"/>
      <c r="SU29" s="295"/>
      <c r="SV29" s="295"/>
      <c r="SW29" s="295"/>
      <c r="SX29" s="295"/>
      <c r="SY29" s="295"/>
      <c r="SZ29" s="295"/>
      <c r="TA29" s="295"/>
      <c r="TB29" s="295"/>
      <c r="TC29" s="295"/>
      <c r="TD29" s="295"/>
      <c r="TE29" s="295"/>
      <c r="TF29" s="295"/>
      <c r="TG29" s="295"/>
      <c r="TH29" s="295"/>
      <c r="TI29" s="295"/>
      <c r="TJ29" s="295"/>
      <c r="TK29" s="295"/>
      <c r="TL29" s="295"/>
      <c r="TM29" s="295"/>
      <c r="TN29" s="295"/>
      <c r="TO29" s="295"/>
      <c r="TP29" s="295"/>
      <c r="TQ29" s="295"/>
      <c r="TR29" s="295"/>
      <c r="TS29" s="295"/>
      <c r="TT29" s="295"/>
      <c r="TU29" s="295"/>
      <c r="TV29" s="295"/>
      <c r="TW29" s="295"/>
      <c r="TX29" s="295"/>
      <c r="TY29" s="295"/>
      <c r="TZ29" s="295"/>
      <c r="UA29" s="295"/>
      <c r="UB29" s="295"/>
      <c r="UC29" s="295"/>
      <c r="UD29" s="295"/>
      <c r="UE29" s="295"/>
      <c r="UF29" s="295"/>
      <c r="UG29" s="295"/>
      <c r="UH29" s="295"/>
      <c r="UI29" s="295"/>
      <c r="UJ29" s="295"/>
      <c r="UK29" s="295"/>
      <c r="UL29" s="295"/>
      <c r="UM29" s="295"/>
      <c r="UN29" s="295"/>
      <c r="UO29" s="295"/>
      <c r="UP29" s="295"/>
      <c r="UQ29" s="295"/>
      <c r="UR29" s="295"/>
      <c r="US29" s="295"/>
      <c r="UT29" s="295"/>
      <c r="UU29" s="295"/>
      <c r="UV29" s="295"/>
      <c r="UW29" s="295"/>
      <c r="UX29" s="295"/>
      <c r="UY29" s="295"/>
      <c r="UZ29" s="295"/>
      <c r="VA29" s="295"/>
      <c r="VB29" s="295"/>
      <c r="VC29" s="295"/>
      <c r="VD29" s="295"/>
      <c r="VE29" s="295"/>
      <c r="VF29" s="295"/>
      <c r="VG29" s="295"/>
      <c r="VH29" s="295"/>
      <c r="VI29" s="295"/>
      <c r="VJ29" s="295"/>
      <c r="VK29" s="295"/>
      <c r="VL29" s="295"/>
      <c r="VM29" s="295"/>
      <c r="VN29" s="295"/>
      <c r="VO29" s="295"/>
      <c r="VP29" s="295"/>
      <c r="VQ29" s="295"/>
      <c r="VR29" s="295"/>
      <c r="VS29" s="295"/>
      <c r="VT29" s="295"/>
      <c r="VU29" s="295"/>
      <c r="VV29" s="295"/>
      <c r="VW29" s="295"/>
      <c r="VX29" s="295"/>
      <c r="VY29" s="295"/>
      <c r="VZ29" s="295"/>
      <c r="WA29" s="295"/>
      <c r="WB29" s="295"/>
      <c r="WC29" s="295"/>
      <c r="WD29" s="295"/>
      <c r="WE29" s="295"/>
      <c r="WF29" s="295"/>
      <c r="WG29" s="295"/>
      <c r="WH29" s="295"/>
      <c r="WI29" s="295"/>
      <c r="WJ29" s="295"/>
      <c r="WK29" s="295"/>
      <c r="WL29" s="295"/>
      <c r="WM29" s="295"/>
      <c r="WN29" s="295"/>
      <c r="WO29" s="295"/>
      <c r="WP29" s="295"/>
      <c r="WQ29" s="295"/>
      <c r="WR29" s="295"/>
      <c r="WS29" s="295"/>
      <c r="WT29" s="295"/>
      <c r="WU29" s="295"/>
      <c r="WV29" s="295"/>
      <c r="WW29" s="295"/>
      <c r="WX29" s="295"/>
      <c r="WY29" s="295"/>
      <c r="WZ29" s="295"/>
      <c r="XA29" s="295"/>
      <c r="XB29" s="295"/>
      <c r="XC29" s="295"/>
      <c r="XD29" s="295"/>
      <c r="XE29" s="295"/>
      <c r="XF29" s="295"/>
      <c r="XG29" s="295"/>
      <c r="XH29" s="295"/>
      <c r="XI29" s="295"/>
      <c r="XJ29" s="295"/>
      <c r="XK29" s="295"/>
      <c r="XL29" s="295"/>
      <c r="XM29" s="295"/>
      <c r="XN29" s="295"/>
      <c r="XO29" s="295"/>
      <c r="XP29" s="295"/>
      <c r="XQ29" s="295"/>
      <c r="XR29" s="295"/>
      <c r="XS29" s="295"/>
      <c r="XT29" s="295"/>
      <c r="XU29" s="295"/>
      <c r="XV29" s="295"/>
      <c r="XW29" s="295"/>
      <c r="XX29" s="295"/>
      <c r="XY29" s="295"/>
      <c r="XZ29" s="295"/>
      <c r="YA29" s="295"/>
      <c r="YB29" s="295"/>
      <c r="YC29" s="295"/>
      <c r="YD29" s="295"/>
      <c r="YE29" s="295"/>
      <c r="YF29" s="295"/>
      <c r="YG29" s="295"/>
      <c r="YH29" s="295"/>
      <c r="YI29" s="295"/>
      <c r="YJ29" s="295"/>
      <c r="YK29" s="295"/>
      <c r="YL29" s="295"/>
      <c r="YM29" s="295"/>
      <c r="YN29" s="295"/>
      <c r="YO29" s="295"/>
      <c r="YP29" s="295"/>
      <c r="YQ29" s="295"/>
      <c r="YR29" s="295"/>
      <c r="YS29" s="295"/>
      <c r="YT29" s="295"/>
      <c r="YU29" s="295"/>
      <c r="YV29" s="295"/>
      <c r="YW29" s="295"/>
      <c r="YX29" s="295"/>
      <c r="YY29" s="295"/>
      <c r="YZ29" s="295"/>
      <c r="ZA29" s="295"/>
      <c r="ZB29" s="295"/>
      <c r="ZC29" s="295"/>
      <c r="ZD29" s="295"/>
      <c r="ZE29" s="295"/>
      <c r="ZF29" s="295"/>
      <c r="ZG29" s="295"/>
      <c r="ZH29" s="295"/>
      <c r="ZI29" s="295"/>
      <c r="ZJ29" s="295"/>
      <c r="ZK29" s="295"/>
      <c r="ZL29" s="295"/>
      <c r="ZM29" s="295"/>
      <c r="ZN29" s="295"/>
      <c r="ZO29" s="295"/>
      <c r="ZP29" s="295"/>
      <c r="ZQ29" s="295"/>
      <c r="ZR29" s="295"/>
      <c r="ZS29" s="295"/>
      <c r="ZT29" s="295"/>
      <c r="ZU29" s="295"/>
      <c r="ZV29" s="295"/>
      <c r="ZW29" s="295"/>
      <c r="ZX29" s="295"/>
      <c r="ZY29" s="295"/>
      <c r="ZZ29" s="295"/>
      <c r="AAA29" s="295"/>
      <c r="AAB29" s="295"/>
      <c r="AAC29" s="295"/>
      <c r="AAD29" s="295"/>
      <c r="AAE29" s="295"/>
      <c r="AAF29" s="295"/>
      <c r="AAG29" s="295"/>
      <c r="AAH29" s="295"/>
      <c r="AAI29" s="295"/>
      <c r="AAJ29" s="295"/>
      <c r="AAK29" s="295"/>
      <c r="AAL29" s="295"/>
      <c r="AAM29" s="295"/>
      <c r="AAN29" s="295"/>
      <c r="AAO29" s="295"/>
      <c r="AAP29" s="295"/>
      <c r="AAQ29" s="295"/>
      <c r="AAR29" s="295"/>
      <c r="AAS29" s="295"/>
      <c r="AAT29" s="295"/>
      <c r="AAU29" s="295"/>
      <c r="AAV29" s="295"/>
      <c r="AAW29" s="295"/>
      <c r="AAX29" s="295"/>
      <c r="AAY29" s="295"/>
      <c r="AAZ29" s="295"/>
      <c r="ABA29" s="295"/>
      <c r="ABB29" s="295"/>
      <c r="ABC29" s="295"/>
      <c r="ABD29" s="295"/>
      <c r="ABE29" s="295"/>
      <c r="ABF29" s="295"/>
      <c r="ABG29" s="295"/>
      <c r="ABH29" s="295"/>
      <c r="ABI29" s="295"/>
      <c r="ABJ29" s="295"/>
      <c r="ABK29" s="295"/>
      <c r="ABL29" s="295"/>
      <c r="ABM29" s="295"/>
      <c r="ABN29" s="295"/>
      <c r="ABO29" s="295"/>
      <c r="ABP29" s="295"/>
      <c r="ABQ29" s="295"/>
      <c r="ABR29" s="295"/>
      <c r="ABS29" s="295"/>
      <c r="ABT29" s="295"/>
      <c r="ABU29" s="295"/>
      <c r="ABV29" s="295"/>
      <c r="ABW29" s="295"/>
      <c r="ABX29" s="295"/>
      <c r="ABY29" s="295"/>
      <c r="ABZ29" s="295"/>
      <c r="ACA29" s="295"/>
      <c r="ACB29" s="295"/>
      <c r="ACC29" s="295"/>
      <c r="ACD29" s="295"/>
      <c r="ACE29" s="295"/>
      <c r="ACF29" s="295"/>
      <c r="ACG29" s="295"/>
      <c r="ACH29" s="295"/>
      <c r="ACI29" s="295"/>
      <c r="ACJ29" s="295"/>
      <c r="ACK29" s="295"/>
      <c r="ACL29" s="295"/>
      <c r="ACM29" s="295"/>
      <c r="ACN29" s="295"/>
      <c r="ACO29" s="295"/>
      <c r="ACP29" s="295"/>
      <c r="ACQ29" s="295"/>
      <c r="ACR29" s="295"/>
      <c r="ACS29" s="295"/>
      <c r="ACT29" s="295"/>
      <c r="ACU29" s="295"/>
      <c r="ACV29" s="295"/>
      <c r="ACW29" s="295"/>
      <c r="ACX29" s="295"/>
      <c r="ACY29" s="295"/>
      <c r="ACZ29" s="295"/>
      <c r="ADA29" s="295"/>
      <c r="ADB29" s="295"/>
      <c r="ADC29" s="295"/>
      <c r="ADD29" s="295"/>
      <c r="ADE29" s="295"/>
      <c r="ADF29" s="295"/>
      <c r="ADG29" s="295"/>
      <c r="ADH29" s="295"/>
      <c r="ADI29" s="295"/>
      <c r="ADJ29" s="295"/>
      <c r="ADK29" s="295"/>
      <c r="ADL29" s="295"/>
      <c r="ADM29" s="295"/>
      <c r="ADN29" s="295"/>
      <c r="ADO29" s="295"/>
      <c r="ADP29" s="295"/>
      <c r="ADQ29" s="295"/>
      <c r="ADR29" s="295"/>
      <c r="ADS29" s="295"/>
      <c r="ADT29" s="295"/>
      <c r="ADU29" s="295"/>
      <c r="ADV29" s="295"/>
      <c r="ADW29" s="295"/>
      <c r="ADX29" s="295"/>
      <c r="ADY29" s="295"/>
      <c r="ADZ29" s="295"/>
      <c r="AEA29" s="295"/>
      <c r="AEB29" s="295"/>
      <c r="AEC29" s="295"/>
      <c r="AED29" s="295"/>
      <c r="AEE29" s="295"/>
      <c r="AEF29" s="295"/>
      <c r="AEG29" s="295"/>
      <c r="AEH29" s="295"/>
      <c r="AEI29" s="295"/>
      <c r="AEJ29" s="295"/>
      <c r="AEK29" s="295"/>
      <c r="AEL29" s="295"/>
      <c r="AEM29" s="295"/>
      <c r="AEN29" s="295"/>
      <c r="AEO29" s="295"/>
      <c r="AEP29" s="295"/>
      <c r="AEQ29" s="295"/>
      <c r="AER29" s="295"/>
      <c r="AES29" s="295"/>
      <c r="AET29" s="295"/>
      <c r="AEU29" s="295"/>
      <c r="AEV29" s="295"/>
      <c r="AEW29" s="295"/>
      <c r="AEX29" s="295"/>
      <c r="AEY29" s="295"/>
      <c r="AEZ29" s="295"/>
      <c r="AFA29" s="295"/>
      <c r="AFB29" s="295"/>
      <c r="AFC29" s="295"/>
      <c r="AFD29" s="295"/>
      <c r="AFE29" s="295"/>
      <c r="AFF29" s="295"/>
      <c r="AFG29" s="295"/>
      <c r="AFH29" s="295"/>
      <c r="AFI29" s="295"/>
      <c r="AFJ29" s="295"/>
      <c r="AFK29" s="295"/>
      <c r="AFL29" s="295"/>
      <c r="AFM29" s="295"/>
      <c r="AFN29" s="295"/>
      <c r="AFO29" s="295"/>
      <c r="AFP29" s="295"/>
      <c r="AFQ29" s="295"/>
      <c r="AFR29" s="295"/>
      <c r="AFS29" s="295"/>
      <c r="AFT29" s="295"/>
      <c r="AFU29" s="295"/>
      <c r="AFV29" s="295"/>
      <c r="AFW29" s="295"/>
      <c r="AFX29" s="295"/>
      <c r="AFY29" s="295"/>
      <c r="AFZ29" s="295"/>
      <c r="AGA29" s="295"/>
      <c r="AGB29" s="295"/>
      <c r="AGC29" s="295"/>
      <c r="AGD29" s="295"/>
      <c r="AGE29" s="295"/>
      <c r="AGF29" s="295"/>
      <c r="AGG29" s="295"/>
      <c r="AGH29" s="295"/>
      <c r="AGI29" s="295"/>
      <c r="AGJ29" s="295"/>
      <c r="AGK29" s="295"/>
      <c r="AGL29" s="295"/>
      <c r="AGM29" s="295"/>
      <c r="AGN29" s="295"/>
      <c r="AGO29" s="295"/>
      <c r="AGP29" s="295"/>
      <c r="AGQ29" s="295"/>
      <c r="AGR29" s="295"/>
      <c r="AGS29" s="295"/>
      <c r="AGT29" s="295"/>
      <c r="AGU29" s="295"/>
      <c r="AGV29" s="295"/>
      <c r="AGW29" s="295"/>
      <c r="AGX29" s="295"/>
      <c r="AGY29" s="295"/>
      <c r="AGZ29" s="295"/>
      <c r="AHA29" s="295"/>
      <c r="AHB29" s="295"/>
      <c r="AHC29" s="295"/>
      <c r="AHD29" s="295"/>
      <c r="AHE29" s="295"/>
      <c r="AHF29" s="295"/>
      <c r="AHG29" s="295"/>
      <c r="AHH29" s="295"/>
      <c r="AHI29" s="295"/>
      <c r="AHJ29" s="295"/>
      <c r="AHK29" s="295"/>
      <c r="AHL29" s="295"/>
      <c r="AHM29" s="295"/>
      <c r="AHN29" s="295"/>
      <c r="AHO29" s="295"/>
      <c r="AHP29" s="295"/>
      <c r="AHQ29" s="295"/>
      <c r="AHR29" s="295"/>
      <c r="AHS29" s="295"/>
      <c r="AHT29" s="295"/>
      <c r="AHU29" s="295"/>
      <c r="AHV29" s="295"/>
      <c r="AHW29" s="295"/>
      <c r="AHX29" s="295"/>
      <c r="AHY29" s="295"/>
      <c r="AHZ29" s="295"/>
      <c r="AIA29" s="295"/>
      <c r="AIB29" s="295"/>
      <c r="AIC29" s="295"/>
      <c r="AID29" s="295"/>
      <c r="AIE29" s="295"/>
      <c r="AIF29" s="295"/>
      <c r="AIG29" s="295"/>
      <c r="AIH29" s="295"/>
      <c r="AII29" s="295"/>
      <c r="AIJ29" s="295"/>
      <c r="AIK29" s="295"/>
      <c r="AIL29" s="295"/>
      <c r="AIM29" s="295"/>
      <c r="AIN29" s="295"/>
      <c r="AIO29" s="295"/>
      <c r="AIP29" s="295"/>
      <c r="AIQ29" s="295"/>
      <c r="AIR29" s="295"/>
      <c r="AIS29" s="295"/>
      <c r="AIT29" s="295"/>
      <c r="AIU29" s="295"/>
      <c r="AIV29" s="295"/>
      <c r="AIW29" s="295"/>
      <c r="AIX29" s="295"/>
      <c r="AIY29" s="295"/>
      <c r="AIZ29" s="295"/>
      <c r="AJA29" s="295"/>
      <c r="AJB29" s="295"/>
      <c r="AJC29" s="295"/>
      <c r="AJD29" s="295"/>
      <c r="AJE29" s="295"/>
      <c r="AJF29" s="295"/>
      <c r="AJG29" s="295"/>
      <c r="AJH29" s="295"/>
      <c r="AJI29" s="295"/>
      <c r="AJJ29" s="295"/>
      <c r="AJK29" s="295"/>
      <c r="AJL29" s="295"/>
      <c r="AJM29" s="295"/>
      <c r="AJN29" s="295"/>
      <c r="AJO29" s="295"/>
      <c r="AJP29" s="295"/>
      <c r="AJQ29" s="295"/>
      <c r="AJR29" s="295"/>
      <c r="AJS29" s="295"/>
      <c r="AJT29" s="295"/>
      <c r="AJU29" s="295"/>
      <c r="AJV29" s="295"/>
      <c r="AJW29" s="295"/>
      <c r="AJX29" s="295"/>
      <c r="AJY29" s="295"/>
      <c r="AJZ29" s="295"/>
      <c r="AKA29" s="295"/>
      <c r="AKB29" s="295"/>
      <c r="AKC29" s="295"/>
      <c r="AKD29" s="295"/>
      <c r="AKE29" s="295"/>
      <c r="AKF29" s="295"/>
      <c r="AKG29" s="295"/>
      <c r="AKH29" s="295"/>
      <c r="AKI29" s="295"/>
      <c r="AKJ29" s="295"/>
      <c r="AKK29" s="295"/>
      <c r="AKL29" s="295"/>
      <c r="AKM29" s="295"/>
      <c r="AKN29" s="295"/>
      <c r="AKO29" s="295"/>
      <c r="AKP29" s="295"/>
      <c r="AKQ29" s="295"/>
      <c r="AKR29" s="295"/>
      <c r="AKS29" s="295"/>
      <c r="AKT29" s="295"/>
      <c r="AKU29" s="295"/>
      <c r="AKV29" s="295"/>
      <c r="AKW29" s="295"/>
      <c r="AKX29" s="295"/>
      <c r="AKY29" s="295"/>
      <c r="AKZ29" s="295"/>
      <c r="ALA29" s="295"/>
      <c r="ALB29" s="295"/>
      <c r="ALC29" s="295"/>
      <c r="ALD29" s="295"/>
      <c r="ALE29" s="295"/>
      <c r="ALF29" s="295"/>
      <c r="ALG29" s="295"/>
      <c r="ALH29" s="295"/>
      <c r="ALI29" s="295"/>
      <c r="ALJ29" s="295"/>
      <c r="ALK29" s="295"/>
      <c r="ALL29" s="313"/>
    </row>
    <row r="30" s="291" customFormat="1" ht="33.75" customHeight="1">
      <c r="C30" t="s" s="310">
        <v>358</v>
      </c>
      <c r="D30" s="213"/>
      <c r="E30" s="211"/>
      <c r="F30" t="s" s="310">
        <v>359</v>
      </c>
      <c r="G30" s="213"/>
      <c r="H30" s="211"/>
      <c r="I30" t="s" s="309">
        <v>360</v>
      </c>
      <c r="J30" s="307"/>
      <c r="K30" s="307"/>
      <c r="L30" s="307"/>
      <c r="M30" s="307"/>
      <c r="N30" s="307"/>
      <c r="O30" s="307"/>
      <c r="P30" s="307"/>
      <c r="Q30" s="307"/>
      <c r="R30" s="308"/>
      <c r="S30" t="s" s="310">
        <f>IF(AND(AND($S$20&gt;=12.5,$S$20&lt;27),$S$22="nein"),$F$30,"")</f>
      </c>
      <c r="T30" s="213"/>
      <c r="U30" s="211"/>
      <c r="V30" s="312"/>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5"/>
      <c r="BD30" s="295"/>
      <c r="BE30" s="295"/>
      <c r="BF30" s="295"/>
      <c r="BG30" s="295"/>
      <c r="BH30" s="295"/>
      <c r="BI30" s="295"/>
      <c r="BJ30" s="295"/>
      <c r="BK30" s="295"/>
      <c r="BL30" s="295"/>
      <c r="BM30" s="295"/>
      <c r="BN30" s="295"/>
      <c r="BO30" s="295"/>
      <c r="BP30" s="295"/>
      <c r="BQ30" s="295"/>
      <c r="BR30" s="295"/>
      <c r="BS30" s="295"/>
      <c r="BT30" s="295"/>
      <c r="BU30" s="295"/>
      <c r="BV30" s="295"/>
      <c r="BW30" s="295"/>
      <c r="BX30" s="295"/>
      <c r="BY30" s="295"/>
      <c r="BZ30" s="295"/>
      <c r="CA30" s="295"/>
      <c r="CB30" s="295"/>
      <c r="CC30" s="295"/>
      <c r="CD30" s="295"/>
      <c r="CE30" s="295"/>
      <c r="CF30" s="295"/>
      <c r="CG30" s="295"/>
      <c r="CH30" s="295"/>
      <c r="CI30" s="295"/>
      <c r="CJ30" s="295"/>
      <c r="CK30" s="295"/>
      <c r="CL30" s="295"/>
      <c r="CM30" s="295"/>
      <c r="CN30" s="295"/>
      <c r="CO30" s="295"/>
      <c r="CP30" s="295"/>
      <c r="CQ30" s="295"/>
      <c r="CR30" s="295"/>
      <c r="CS30" s="295"/>
      <c r="CT30" s="295"/>
      <c r="CU30" s="295"/>
      <c r="CV30" s="295"/>
      <c r="CW30" s="295"/>
      <c r="CX30" s="295"/>
      <c r="CY30" s="295"/>
      <c r="CZ30" s="295"/>
      <c r="DA30" s="295"/>
      <c r="DB30" s="295"/>
      <c r="DC30" s="295"/>
      <c r="DD30" s="295"/>
      <c r="DE30" s="295"/>
      <c r="DF30" s="295"/>
      <c r="DG30" s="295"/>
      <c r="DH30" s="295"/>
      <c r="DI30" s="295"/>
      <c r="DJ30" s="295"/>
      <c r="DK30" s="295"/>
      <c r="DL30" s="295"/>
      <c r="DM30" s="295"/>
      <c r="DN30" s="295"/>
      <c r="DO30" s="295"/>
      <c r="DP30" s="295"/>
      <c r="DQ30" s="295"/>
      <c r="DR30" s="295"/>
      <c r="DS30" s="295"/>
      <c r="DT30" s="295"/>
      <c r="DU30" s="295"/>
      <c r="DV30" s="295"/>
      <c r="DW30" s="295"/>
      <c r="DX30" s="295"/>
      <c r="DY30" s="295"/>
      <c r="DZ30" s="295"/>
      <c r="EA30" s="295"/>
      <c r="EB30" s="295"/>
      <c r="EC30" s="295"/>
      <c r="ED30" s="295"/>
      <c r="EE30" s="295"/>
      <c r="EF30" s="295"/>
      <c r="EG30" s="295"/>
      <c r="EH30" s="295"/>
      <c r="EI30" s="295"/>
      <c r="EJ30" s="295"/>
      <c r="EK30" s="295"/>
      <c r="EL30" s="295"/>
      <c r="EM30" s="295"/>
      <c r="EN30" s="295"/>
      <c r="EO30" s="295"/>
      <c r="EP30" s="295"/>
      <c r="EQ30" s="295"/>
      <c r="ER30" s="295"/>
      <c r="ES30" s="295"/>
      <c r="ET30" s="295"/>
      <c r="EU30" s="295"/>
      <c r="EV30" s="295"/>
      <c r="EW30" s="295"/>
      <c r="EX30" s="295"/>
      <c r="EY30" s="295"/>
      <c r="EZ30" s="295"/>
      <c r="FA30" s="295"/>
      <c r="FB30" s="295"/>
      <c r="FC30" s="295"/>
      <c r="FD30" s="295"/>
      <c r="FE30" s="295"/>
      <c r="FF30" s="295"/>
      <c r="FG30" s="295"/>
      <c r="FH30" s="295"/>
      <c r="FI30" s="295"/>
      <c r="FJ30" s="295"/>
      <c r="FK30" s="295"/>
      <c r="FL30" s="295"/>
      <c r="FM30" s="295"/>
      <c r="FN30" s="295"/>
      <c r="FO30" s="295"/>
      <c r="FP30" s="295"/>
      <c r="FQ30" s="295"/>
      <c r="FR30" s="295"/>
      <c r="FS30" s="295"/>
      <c r="FT30" s="295"/>
      <c r="FU30" s="295"/>
      <c r="FV30" s="295"/>
      <c r="FW30" s="295"/>
      <c r="FX30" s="295"/>
      <c r="FY30" s="295"/>
      <c r="FZ30" s="295"/>
      <c r="GA30" s="295"/>
      <c r="GB30" s="295"/>
      <c r="GC30" s="295"/>
      <c r="GD30" s="295"/>
      <c r="GE30" s="295"/>
      <c r="GF30" s="295"/>
      <c r="GG30" s="295"/>
      <c r="GH30" s="295"/>
      <c r="GI30" s="295"/>
      <c r="GJ30" s="295"/>
      <c r="GK30" s="295"/>
      <c r="GL30" s="295"/>
      <c r="GM30" s="295"/>
      <c r="GN30" s="295"/>
      <c r="GO30" s="295"/>
      <c r="GP30" s="295"/>
      <c r="GQ30" s="295"/>
      <c r="GR30" s="295"/>
      <c r="GS30" s="295"/>
      <c r="GT30" s="295"/>
      <c r="GU30" s="295"/>
      <c r="GV30" s="295"/>
      <c r="GW30" s="295"/>
      <c r="GX30" s="295"/>
      <c r="GY30" s="295"/>
      <c r="GZ30" s="295"/>
      <c r="HA30" s="295"/>
      <c r="HB30" s="295"/>
      <c r="HC30" s="295"/>
      <c r="HD30" s="295"/>
      <c r="HE30" s="295"/>
      <c r="HF30" s="295"/>
      <c r="HG30" s="295"/>
      <c r="HH30" s="295"/>
      <c r="HI30" s="295"/>
      <c r="HJ30" s="295"/>
      <c r="HK30" s="295"/>
      <c r="HL30" s="295"/>
      <c r="HM30" s="295"/>
      <c r="HN30" s="295"/>
      <c r="HO30" s="295"/>
      <c r="HP30" s="295"/>
      <c r="HQ30" s="295"/>
      <c r="HR30" s="295"/>
      <c r="HS30" s="295"/>
      <c r="HT30" s="295"/>
      <c r="HU30" s="295"/>
      <c r="HV30" s="295"/>
      <c r="HW30" s="295"/>
      <c r="HX30" s="295"/>
      <c r="HY30" s="295"/>
      <c r="HZ30" s="295"/>
      <c r="IA30" s="295"/>
      <c r="IB30" s="295"/>
      <c r="IC30" s="295"/>
      <c r="ID30" s="295"/>
      <c r="IE30" s="295"/>
      <c r="IF30" s="295"/>
      <c r="IG30" s="295"/>
      <c r="IH30" s="295"/>
      <c r="II30" s="295"/>
      <c r="IJ30" s="295"/>
      <c r="IK30" s="295"/>
      <c r="IL30" s="295"/>
      <c r="IM30" s="295"/>
      <c r="IN30" s="295"/>
      <c r="IO30" s="295"/>
      <c r="IP30" s="295"/>
      <c r="IQ30" s="295"/>
      <c r="IR30" s="295"/>
      <c r="IS30" s="295"/>
      <c r="IT30" s="295"/>
      <c r="IU30" s="295"/>
      <c r="IV30" s="295"/>
      <c r="IW30" s="295"/>
      <c r="IX30" s="295"/>
      <c r="IY30" s="295"/>
      <c r="IZ30" s="295"/>
      <c r="JA30" s="295"/>
      <c r="JB30" s="295"/>
      <c r="JC30" s="295"/>
      <c r="JD30" s="295"/>
      <c r="JE30" s="295"/>
      <c r="JF30" s="295"/>
      <c r="JG30" s="295"/>
      <c r="JH30" s="295"/>
      <c r="JI30" s="295"/>
      <c r="JJ30" s="295"/>
      <c r="JK30" s="295"/>
      <c r="JL30" s="295"/>
      <c r="JM30" s="295"/>
      <c r="JN30" s="295"/>
      <c r="JO30" s="295"/>
      <c r="JP30" s="295"/>
      <c r="JQ30" s="295"/>
      <c r="JR30" s="295"/>
      <c r="JS30" s="295"/>
      <c r="JT30" s="295"/>
      <c r="JU30" s="295"/>
      <c r="JV30" s="295"/>
      <c r="JW30" s="295"/>
      <c r="JX30" s="295"/>
      <c r="JY30" s="295"/>
      <c r="JZ30" s="295"/>
      <c r="KA30" s="295"/>
      <c r="KB30" s="295"/>
      <c r="KC30" s="295"/>
      <c r="KD30" s="295"/>
      <c r="KE30" s="295"/>
      <c r="KF30" s="295"/>
      <c r="KG30" s="295"/>
      <c r="KH30" s="295"/>
      <c r="KI30" s="295"/>
      <c r="KJ30" s="295"/>
      <c r="KK30" s="295"/>
      <c r="KL30" s="295"/>
      <c r="KM30" s="295"/>
      <c r="KN30" s="295"/>
      <c r="KO30" s="295"/>
      <c r="KP30" s="295"/>
      <c r="KQ30" s="295"/>
      <c r="KR30" s="295"/>
      <c r="KS30" s="295"/>
      <c r="KT30" s="295"/>
      <c r="KU30" s="295"/>
      <c r="KV30" s="295"/>
      <c r="KW30" s="295"/>
      <c r="KX30" s="295"/>
      <c r="KY30" s="295"/>
      <c r="KZ30" s="295"/>
      <c r="LA30" s="295"/>
      <c r="LB30" s="295"/>
      <c r="LC30" s="295"/>
      <c r="LD30" s="295"/>
      <c r="LE30" s="295"/>
      <c r="LF30" s="295"/>
      <c r="LG30" s="295"/>
      <c r="LH30" s="295"/>
      <c r="LI30" s="295"/>
      <c r="LJ30" s="295"/>
      <c r="LK30" s="295"/>
      <c r="LL30" s="295"/>
      <c r="LM30" s="295"/>
      <c r="LN30" s="295"/>
      <c r="LO30" s="295"/>
      <c r="LP30" s="295"/>
      <c r="LQ30" s="295"/>
      <c r="LR30" s="295"/>
      <c r="LS30" s="295"/>
      <c r="LT30" s="295"/>
      <c r="LU30" s="295"/>
      <c r="LV30" s="295"/>
      <c r="LW30" s="295"/>
      <c r="LX30" s="295"/>
      <c r="LY30" s="295"/>
      <c r="LZ30" s="295"/>
      <c r="MA30" s="295"/>
      <c r="MB30" s="295"/>
      <c r="MC30" s="295"/>
      <c r="MD30" s="295"/>
      <c r="ME30" s="295"/>
      <c r="MF30" s="295"/>
      <c r="MG30" s="295"/>
      <c r="MH30" s="295"/>
      <c r="MI30" s="295"/>
      <c r="MJ30" s="295"/>
      <c r="MK30" s="295"/>
      <c r="ML30" s="295"/>
      <c r="MM30" s="295"/>
      <c r="MN30" s="295"/>
      <c r="MO30" s="295"/>
      <c r="MP30" s="295"/>
      <c r="MQ30" s="295"/>
      <c r="MR30" s="295"/>
      <c r="MS30" s="295"/>
      <c r="MT30" s="295"/>
      <c r="MU30" s="295"/>
      <c r="MV30" s="295"/>
      <c r="MW30" s="295"/>
      <c r="MX30" s="295"/>
      <c r="MY30" s="295"/>
      <c r="MZ30" s="295"/>
      <c r="NA30" s="295"/>
      <c r="NB30" s="295"/>
      <c r="NC30" s="295"/>
      <c r="ND30" s="295"/>
      <c r="NE30" s="295"/>
      <c r="NF30" s="295"/>
      <c r="NG30" s="295"/>
      <c r="NH30" s="295"/>
      <c r="NI30" s="295"/>
      <c r="NJ30" s="295"/>
      <c r="NK30" s="295"/>
      <c r="NL30" s="295"/>
      <c r="NM30" s="295"/>
      <c r="NN30" s="295"/>
      <c r="NO30" s="295"/>
      <c r="NP30" s="295"/>
      <c r="NQ30" s="295"/>
      <c r="NR30" s="295"/>
      <c r="NS30" s="295"/>
      <c r="NT30" s="295"/>
      <c r="NU30" s="295"/>
      <c r="NV30" s="295"/>
      <c r="NW30" s="295"/>
      <c r="NX30" s="295"/>
      <c r="NY30" s="295"/>
      <c r="NZ30" s="295"/>
      <c r="OA30" s="295"/>
      <c r="OB30" s="295"/>
      <c r="OC30" s="295"/>
      <c r="OD30" s="295"/>
      <c r="OE30" s="295"/>
      <c r="OF30" s="295"/>
      <c r="OG30" s="295"/>
      <c r="OH30" s="295"/>
      <c r="OI30" s="295"/>
      <c r="OJ30" s="295"/>
      <c r="OK30" s="295"/>
      <c r="OL30" s="295"/>
      <c r="OM30" s="295"/>
      <c r="ON30" s="295"/>
      <c r="OO30" s="295"/>
      <c r="OP30" s="295"/>
      <c r="OQ30" s="295"/>
      <c r="OR30" s="295"/>
      <c r="OS30" s="295"/>
      <c r="OT30" s="295"/>
      <c r="OU30" s="295"/>
      <c r="OV30" s="295"/>
      <c r="OW30" s="295"/>
      <c r="OX30" s="295"/>
      <c r="OY30" s="295"/>
      <c r="OZ30" s="295"/>
      <c r="PA30" s="295"/>
      <c r="PB30" s="295"/>
      <c r="PC30" s="295"/>
      <c r="PD30" s="295"/>
      <c r="PE30" s="295"/>
      <c r="PF30" s="295"/>
      <c r="PG30" s="295"/>
      <c r="PH30" s="295"/>
      <c r="PI30" s="295"/>
      <c r="PJ30" s="295"/>
      <c r="PK30" s="295"/>
      <c r="PL30" s="295"/>
      <c r="PM30" s="295"/>
      <c r="PN30" s="295"/>
      <c r="PO30" s="295"/>
      <c r="PP30" s="295"/>
      <c r="PQ30" s="295"/>
      <c r="PR30" s="295"/>
      <c r="PS30" s="295"/>
      <c r="PT30" s="295"/>
      <c r="PU30" s="295"/>
      <c r="PV30" s="295"/>
      <c r="PW30" s="295"/>
      <c r="PX30" s="295"/>
      <c r="PY30" s="295"/>
      <c r="PZ30" s="295"/>
      <c r="QA30" s="295"/>
      <c r="QB30" s="295"/>
      <c r="QC30" s="295"/>
      <c r="QD30" s="295"/>
      <c r="QE30" s="295"/>
      <c r="QF30" s="295"/>
      <c r="QG30" s="295"/>
      <c r="QH30" s="295"/>
      <c r="QI30" s="295"/>
      <c r="QJ30" s="295"/>
      <c r="QK30" s="295"/>
      <c r="QL30" s="295"/>
      <c r="QM30" s="295"/>
      <c r="QN30" s="295"/>
      <c r="QO30" s="295"/>
      <c r="QP30" s="295"/>
      <c r="QQ30" s="295"/>
      <c r="QR30" s="295"/>
      <c r="QS30" s="295"/>
      <c r="QT30" s="295"/>
      <c r="QU30" s="295"/>
      <c r="QV30" s="295"/>
      <c r="QW30" s="295"/>
      <c r="QX30" s="295"/>
      <c r="QY30" s="295"/>
      <c r="QZ30" s="295"/>
      <c r="RA30" s="295"/>
      <c r="RB30" s="295"/>
      <c r="RC30" s="295"/>
      <c r="RD30" s="295"/>
      <c r="RE30" s="295"/>
      <c r="RF30" s="295"/>
      <c r="RG30" s="295"/>
      <c r="RH30" s="295"/>
      <c r="RI30" s="295"/>
      <c r="RJ30" s="295"/>
      <c r="RK30" s="295"/>
      <c r="RL30" s="295"/>
      <c r="RM30" s="295"/>
      <c r="RN30" s="295"/>
      <c r="RO30" s="295"/>
      <c r="RP30" s="295"/>
      <c r="RQ30" s="295"/>
      <c r="RR30" s="295"/>
      <c r="RS30" s="295"/>
      <c r="RT30" s="295"/>
      <c r="RU30" s="295"/>
      <c r="RV30" s="295"/>
      <c r="RW30" s="295"/>
      <c r="RX30" s="295"/>
      <c r="RY30" s="295"/>
      <c r="RZ30" s="295"/>
      <c r="SA30" s="295"/>
      <c r="SB30" s="295"/>
      <c r="SC30" s="295"/>
      <c r="SD30" s="295"/>
      <c r="SE30" s="295"/>
      <c r="SF30" s="295"/>
      <c r="SG30" s="295"/>
      <c r="SH30" s="295"/>
      <c r="SI30" s="295"/>
      <c r="SJ30" s="295"/>
      <c r="SK30" s="295"/>
      <c r="SL30" s="295"/>
      <c r="SM30" s="295"/>
      <c r="SN30" s="295"/>
      <c r="SO30" s="295"/>
      <c r="SP30" s="295"/>
      <c r="SQ30" s="295"/>
      <c r="SR30" s="295"/>
      <c r="SS30" s="295"/>
      <c r="ST30" s="295"/>
      <c r="SU30" s="295"/>
      <c r="SV30" s="295"/>
      <c r="SW30" s="295"/>
      <c r="SX30" s="295"/>
      <c r="SY30" s="295"/>
      <c r="SZ30" s="295"/>
      <c r="TA30" s="295"/>
      <c r="TB30" s="295"/>
      <c r="TC30" s="295"/>
      <c r="TD30" s="295"/>
      <c r="TE30" s="295"/>
      <c r="TF30" s="295"/>
      <c r="TG30" s="295"/>
      <c r="TH30" s="295"/>
      <c r="TI30" s="295"/>
      <c r="TJ30" s="295"/>
      <c r="TK30" s="295"/>
      <c r="TL30" s="295"/>
      <c r="TM30" s="295"/>
      <c r="TN30" s="295"/>
      <c r="TO30" s="295"/>
      <c r="TP30" s="295"/>
      <c r="TQ30" s="295"/>
      <c r="TR30" s="295"/>
      <c r="TS30" s="295"/>
      <c r="TT30" s="295"/>
      <c r="TU30" s="295"/>
      <c r="TV30" s="295"/>
      <c r="TW30" s="295"/>
      <c r="TX30" s="295"/>
      <c r="TY30" s="295"/>
      <c r="TZ30" s="295"/>
      <c r="UA30" s="295"/>
      <c r="UB30" s="295"/>
      <c r="UC30" s="295"/>
      <c r="UD30" s="295"/>
      <c r="UE30" s="295"/>
      <c r="UF30" s="295"/>
      <c r="UG30" s="295"/>
      <c r="UH30" s="295"/>
      <c r="UI30" s="295"/>
      <c r="UJ30" s="295"/>
      <c r="UK30" s="295"/>
      <c r="UL30" s="295"/>
      <c r="UM30" s="295"/>
      <c r="UN30" s="295"/>
      <c r="UO30" s="295"/>
      <c r="UP30" s="295"/>
      <c r="UQ30" s="295"/>
      <c r="UR30" s="295"/>
      <c r="US30" s="295"/>
      <c r="UT30" s="295"/>
      <c r="UU30" s="295"/>
      <c r="UV30" s="295"/>
      <c r="UW30" s="295"/>
      <c r="UX30" s="295"/>
      <c r="UY30" s="295"/>
      <c r="UZ30" s="295"/>
      <c r="VA30" s="295"/>
      <c r="VB30" s="295"/>
      <c r="VC30" s="295"/>
      <c r="VD30" s="295"/>
      <c r="VE30" s="295"/>
      <c r="VF30" s="295"/>
      <c r="VG30" s="295"/>
      <c r="VH30" s="295"/>
      <c r="VI30" s="295"/>
      <c r="VJ30" s="295"/>
      <c r="VK30" s="295"/>
      <c r="VL30" s="295"/>
      <c r="VM30" s="295"/>
      <c r="VN30" s="295"/>
      <c r="VO30" s="295"/>
      <c r="VP30" s="295"/>
      <c r="VQ30" s="295"/>
      <c r="VR30" s="295"/>
      <c r="VS30" s="295"/>
      <c r="VT30" s="295"/>
      <c r="VU30" s="295"/>
      <c r="VV30" s="295"/>
      <c r="VW30" s="295"/>
      <c r="VX30" s="295"/>
      <c r="VY30" s="295"/>
      <c r="VZ30" s="295"/>
      <c r="WA30" s="295"/>
      <c r="WB30" s="295"/>
      <c r="WC30" s="295"/>
      <c r="WD30" s="295"/>
      <c r="WE30" s="295"/>
      <c r="WF30" s="295"/>
      <c r="WG30" s="295"/>
      <c r="WH30" s="295"/>
      <c r="WI30" s="295"/>
      <c r="WJ30" s="295"/>
      <c r="WK30" s="295"/>
      <c r="WL30" s="295"/>
      <c r="WM30" s="295"/>
      <c r="WN30" s="295"/>
      <c r="WO30" s="295"/>
      <c r="WP30" s="295"/>
      <c r="WQ30" s="295"/>
      <c r="WR30" s="295"/>
      <c r="WS30" s="295"/>
      <c r="WT30" s="295"/>
      <c r="WU30" s="295"/>
      <c r="WV30" s="295"/>
      <c r="WW30" s="295"/>
      <c r="WX30" s="295"/>
      <c r="WY30" s="295"/>
      <c r="WZ30" s="295"/>
      <c r="XA30" s="295"/>
      <c r="XB30" s="295"/>
      <c r="XC30" s="295"/>
      <c r="XD30" s="295"/>
      <c r="XE30" s="295"/>
      <c r="XF30" s="295"/>
      <c r="XG30" s="295"/>
      <c r="XH30" s="295"/>
      <c r="XI30" s="295"/>
      <c r="XJ30" s="295"/>
      <c r="XK30" s="295"/>
      <c r="XL30" s="295"/>
      <c r="XM30" s="295"/>
      <c r="XN30" s="295"/>
      <c r="XO30" s="295"/>
      <c r="XP30" s="295"/>
      <c r="XQ30" s="295"/>
      <c r="XR30" s="295"/>
      <c r="XS30" s="295"/>
      <c r="XT30" s="295"/>
      <c r="XU30" s="295"/>
      <c r="XV30" s="295"/>
      <c r="XW30" s="295"/>
      <c r="XX30" s="295"/>
      <c r="XY30" s="295"/>
      <c r="XZ30" s="295"/>
      <c r="YA30" s="295"/>
      <c r="YB30" s="295"/>
      <c r="YC30" s="295"/>
      <c r="YD30" s="295"/>
      <c r="YE30" s="295"/>
      <c r="YF30" s="295"/>
      <c r="YG30" s="295"/>
      <c r="YH30" s="295"/>
      <c r="YI30" s="295"/>
      <c r="YJ30" s="295"/>
      <c r="YK30" s="295"/>
      <c r="YL30" s="295"/>
      <c r="YM30" s="295"/>
      <c r="YN30" s="295"/>
      <c r="YO30" s="295"/>
      <c r="YP30" s="295"/>
      <c r="YQ30" s="295"/>
      <c r="YR30" s="295"/>
      <c r="YS30" s="295"/>
      <c r="YT30" s="295"/>
      <c r="YU30" s="295"/>
      <c r="YV30" s="295"/>
      <c r="YW30" s="295"/>
      <c r="YX30" s="295"/>
      <c r="YY30" s="295"/>
      <c r="YZ30" s="295"/>
      <c r="ZA30" s="295"/>
      <c r="ZB30" s="295"/>
      <c r="ZC30" s="295"/>
      <c r="ZD30" s="295"/>
      <c r="ZE30" s="295"/>
      <c r="ZF30" s="295"/>
      <c r="ZG30" s="295"/>
      <c r="ZH30" s="295"/>
      <c r="ZI30" s="295"/>
      <c r="ZJ30" s="295"/>
      <c r="ZK30" s="295"/>
      <c r="ZL30" s="295"/>
      <c r="ZM30" s="295"/>
      <c r="ZN30" s="295"/>
      <c r="ZO30" s="295"/>
      <c r="ZP30" s="295"/>
      <c r="ZQ30" s="295"/>
      <c r="ZR30" s="295"/>
      <c r="ZS30" s="295"/>
      <c r="ZT30" s="295"/>
      <c r="ZU30" s="295"/>
      <c r="ZV30" s="295"/>
      <c r="ZW30" s="295"/>
      <c r="ZX30" s="295"/>
      <c r="ZY30" s="295"/>
      <c r="ZZ30" s="295"/>
      <c r="AAA30" s="295"/>
      <c r="AAB30" s="295"/>
      <c r="AAC30" s="295"/>
      <c r="AAD30" s="295"/>
      <c r="AAE30" s="295"/>
      <c r="AAF30" s="295"/>
      <c r="AAG30" s="295"/>
      <c r="AAH30" s="295"/>
      <c r="AAI30" s="295"/>
      <c r="AAJ30" s="295"/>
      <c r="AAK30" s="295"/>
      <c r="AAL30" s="295"/>
      <c r="AAM30" s="295"/>
      <c r="AAN30" s="295"/>
      <c r="AAO30" s="295"/>
      <c r="AAP30" s="295"/>
      <c r="AAQ30" s="295"/>
      <c r="AAR30" s="295"/>
      <c r="AAS30" s="295"/>
      <c r="AAT30" s="295"/>
      <c r="AAU30" s="295"/>
      <c r="AAV30" s="295"/>
      <c r="AAW30" s="295"/>
      <c r="AAX30" s="295"/>
      <c r="AAY30" s="295"/>
      <c r="AAZ30" s="295"/>
      <c r="ABA30" s="295"/>
      <c r="ABB30" s="295"/>
      <c r="ABC30" s="295"/>
      <c r="ABD30" s="295"/>
      <c r="ABE30" s="295"/>
      <c r="ABF30" s="295"/>
      <c r="ABG30" s="295"/>
      <c r="ABH30" s="295"/>
      <c r="ABI30" s="295"/>
      <c r="ABJ30" s="295"/>
      <c r="ABK30" s="295"/>
      <c r="ABL30" s="295"/>
      <c r="ABM30" s="295"/>
      <c r="ABN30" s="295"/>
      <c r="ABO30" s="295"/>
      <c r="ABP30" s="295"/>
      <c r="ABQ30" s="295"/>
      <c r="ABR30" s="295"/>
      <c r="ABS30" s="295"/>
      <c r="ABT30" s="295"/>
      <c r="ABU30" s="295"/>
      <c r="ABV30" s="295"/>
      <c r="ABW30" s="295"/>
      <c r="ABX30" s="295"/>
      <c r="ABY30" s="295"/>
      <c r="ABZ30" s="295"/>
      <c r="ACA30" s="295"/>
      <c r="ACB30" s="295"/>
      <c r="ACC30" s="295"/>
      <c r="ACD30" s="295"/>
      <c r="ACE30" s="295"/>
      <c r="ACF30" s="295"/>
      <c r="ACG30" s="295"/>
      <c r="ACH30" s="295"/>
      <c r="ACI30" s="295"/>
      <c r="ACJ30" s="295"/>
      <c r="ACK30" s="295"/>
      <c r="ACL30" s="295"/>
      <c r="ACM30" s="295"/>
      <c r="ACN30" s="295"/>
      <c r="ACO30" s="295"/>
      <c r="ACP30" s="295"/>
      <c r="ACQ30" s="295"/>
      <c r="ACR30" s="295"/>
      <c r="ACS30" s="295"/>
      <c r="ACT30" s="295"/>
      <c r="ACU30" s="295"/>
      <c r="ACV30" s="295"/>
      <c r="ACW30" s="295"/>
      <c r="ACX30" s="295"/>
      <c r="ACY30" s="295"/>
      <c r="ACZ30" s="295"/>
      <c r="ADA30" s="295"/>
      <c r="ADB30" s="295"/>
      <c r="ADC30" s="295"/>
      <c r="ADD30" s="295"/>
      <c r="ADE30" s="295"/>
      <c r="ADF30" s="295"/>
      <c r="ADG30" s="295"/>
      <c r="ADH30" s="295"/>
      <c r="ADI30" s="295"/>
      <c r="ADJ30" s="295"/>
      <c r="ADK30" s="295"/>
      <c r="ADL30" s="295"/>
      <c r="ADM30" s="295"/>
      <c r="ADN30" s="295"/>
      <c r="ADO30" s="295"/>
      <c r="ADP30" s="295"/>
      <c r="ADQ30" s="295"/>
      <c r="ADR30" s="295"/>
      <c r="ADS30" s="295"/>
      <c r="ADT30" s="295"/>
      <c r="ADU30" s="295"/>
      <c r="ADV30" s="295"/>
      <c r="ADW30" s="295"/>
      <c r="ADX30" s="295"/>
      <c r="ADY30" s="295"/>
      <c r="ADZ30" s="295"/>
      <c r="AEA30" s="295"/>
      <c r="AEB30" s="295"/>
      <c r="AEC30" s="295"/>
      <c r="AED30" s="295"/>
      <c r="AEE30" s="295"/>
      <c r="AEF30" s="295"/>
      <c r="AEG30" s="295"/>
      <c r="AEH30" s="295"/>
      <c r="AEI30" s="295"/>
      <c r="AEJ30" s="295"/>
      <c r="AEK30" s="295"/>
      <c r="AEL30" s="295"/>
      <c r="AEM30" s="295"/>
      <c r="AEN30" s="295"/>
      <c r="AEO30" s="295"/>
      <c r="AEP30" s="295"/>
      <c r="AEQ30" s="295"/>
      <c r="AER30" s="295"/>
      <c r="AES30" s="295"/>
      <c r="AET30" s="295"/>
      <c r="AEU30" s="295"/>
      <c r="AEV30" s="295"/>
      <c r="AEW30" s="295"/>
      <c r="AEX30" s="295"/>
      <c r="AEY30" s="295"/>
      <c r="AEZ30" s="295"/>
      <c r="AFA30" s="295"/>
      <c r="AFB30" s="295"/>
      <c r="AFC30" s="295"/>
      <c r="AFD30" s="295"/>
      <c r="AFE30" s="295"/>
      <c r="AFF30" s="295"/>
      <c r="AFG30" s="295"/>
      <c r="AFH30" s="295"/>
      <c r="AFI30" s="295"/>
      <c r="AFJ30" s="295"/>
      <c r="AFK30" s="295"/>
      <c r="AFL30" s="295"/>
      <c r="AFM30" s="295"/>
      <c r="AFN30" s="295"/>
      <c r="AFO30" s="295"/>
      <c r="AFP30" s="295"/>
      <c r="AFQ30" s="295"/>
      <c r="AFR30" s="295"/>
      <c r="AFS30" s="295"/>
      <c r="AFT30" s="295"/>
      <c r="AFU30" s="295"/>
      <c r="AFV30" s="295"/>
      <c r="AFW30" s="295"/>
      <c r="AFX30" s="295"/>
      <c r="AFY30" s="295"/>
      <c r="AFZ30" s="295"/>
      <c r="AGA30" s="295"/>
      <c r="AGB30" s="295"/>
      <c r="AGC30" s="295"/>
      <c r="AGD30" s="295"/>
      <c r="AGE30" s="295"/>
      <c r="AGF30" s="295"/>
      <c r="AGG30" s="295"/>
      <c r="AGH30" s="295"/>
      <c r="AGI30" s="295"/>
      <c r="AGJ30" s="295"/>
      <c r="AGK30" s="295"/>
      <c r="AGL30" s="295"/>
      <c r="AGM30" s="295"/>
      <c r="AGN30" s="295"/>
      <c r="AGO30" s="295"/>
      <c r="AGP30" s="295"/>
      <c r="AGQ30" s="295"/>
      <c r="AGR30" s="295"/>
      <c r="AGS30" s="295"/>
      <c r="AGT30" s="295"/>
      <c r="AGU30" s="295"/>
      <c r="AGV30" s="295"/>
      <c r="AGW30" s="295"/>
      <c r="AGX30" s="295"/>
      <c r="AGY30" s="295"/>
      <c r="AGZ30" s="295"/>
      <c r="AHA30" s="295"/>
      <c r="AHB30" s="295"/>
      <c r="AHC30" s="295"/>
      <c r="AHD30" s="295"/>
      <c r="AHE30" s="295"/>
      <c r="AHF30" s="295"/>
      <c r="AHG30" s="295"/>
      <c r="AHH30" s="295"/>
      <c r="AHI30" s="295"/>
      <c r="AHJ30" s="295"/>
      <c r="AHK30" s="295"/>
      <c r="AHL30" s="295"/>
      <c r="AHM30" s="295"/>
      <c r="AHN30" s="295"/>
      <c r="AHO30" s="295"/>
      <c r="AHP30" s="295"/>
      <c r="AHQ30" s="295"/>
      <c r="AHR30" s="295"/>
      <c r="AHS30" s="295"/>
      <c r="AHT30" s="295"/>
      <c r="AHU30" s="295"/>
      <c r="AHV30" s="295"/>
      <c r="AHW30" s="295"/>
      <c r="AHX30" s="295"/>
      <c r="AHY30" s="295"/>
      <c r="AHZ30" s="295"/>
      <c r="AIA30" s="295"/>
      <c r="AIB30" s="295"/>
      <c r="AIC30" s="295"/>
      <c r="AID30" s="295"/>
      <c r="AIE30" s="295"/>
      <c r="AIF30" s="295"/>
      <c r="AIG30" s="295"/>
      <c r="AIH30" s="295"/>
      <c r="AII30" s="295"/>
      <c r="AIJ30" s="295"/>
      <c r="AIK30" s="295"/>
      <c r="AIL30" s="295"/>
      <c r="AIM30" s="295"/>
      <c r="AIN30" s="295"/>
      <c r="AIO30" s="295"/>
      <c r="AIP30" s="295"/>
      <c r="AIQ30" s="295"/>
      <c r="AIR30" s="295"/>
      <c r="AIS30" s="295"/>
      <c r="AIT30" s="295"/>
      <c r="AIU30" s="295"/>
      <c r="AIV30" s="295"/>
      <c r="AIW30" s="295"/>
      <c r="AIX30" s="295"/>
      <c r="AIY30" s="295"/>
      <c r="AIZ30" s="295"/>
      <c r="AJA30" s="295"/>
      <c r="AJB30" s="295"/>
      <c r="AJC30" s="295"/>
      <c r="AJD30" s="295"/>
      <c r="AJE30" s="295"/>
      <c r="AJF30" s="295"/>
      <c r="AJG30" s="295"/>
      <c r="AJH30" s="295"/>
      <c r="AJI30" s="295"/>
      <c r="AJJ30" s="295"/>
      <c r="AJK30" s="295"/>
      <c r="AJL30" s="295"/>
      <c r="AJM30" s="295"/>
      <c r="AJN30" s="295"/>
      <c r="AJO30" s="295"/>
      <c r="AJP30" s="295"/>
      <c r="AJQ30" s="295"/>
      <c r="AJR30" s="295"/>
      <c r="AJS30" s="295"/>
      <c r="AJT30" s="295"/>
      <c r="AJU30" s="295"/>
      <c r="AJV30" s="295"/>
      <c r="AJW30" s="295"/>
      <c r="AJX30" s="295"/>
      <c r="AJY30" s="295"/>
      <c r="AJZ30" s="295"/>
      <c r="AKA30" s="295"/>
      <c r="AKB30" s="295"/>
      <c r="AKC30" s="295"/>
      <c r="AKD30" s="295"/>
      <c r="AKE30" s="295"/>
      <c r="AKF30" s="295"/>
      <c r="AKG30" s="295"/>
      <c r="AKH30" s="295"/>
      <c r="AKI30" s="295"/>
      <c r="AKJ30" s="295"/>
      <c r="AKK30" s="295"/>
      <c r="AKL30" s="295"/>
      <c r="AKM30" s="295"/>
      <c r="AKN30" s="295"/>
      <c r="AKO30" s="295"/>
      <c r="AKP30" s="295"/>
      <c r="AKQ30" s="295"/>
      <c r="AKR30" s="295"/>
      <c r="AKS30" s="295"/>
      <c r="AKT30" s="295"/>
      <c r="AKU30" s="295"/>
      <c r="AKV30" s="295"/>
      <c r="AKW30" s="295"/>
      <c r="AKX30" s="295"/>
      <c r="AKY30" s="295"/>
      <c r="AKZ30" s="295"/>
      <c r="ALA30" s="295"/>
      <c r="ALB30" s="295"/>
      <c r="ALC30" s="295"/>
      <c r="ALD30" s="295"/>
      <c r="ALE30" s="295"/>
      <c r="ALF30" s="295"/>
      <c r="ALG30" s="295"/>
      <c r="ALH30" s="295"/>
      <c r="ALI30" s="295"/>
      <c r="ALJ30" s="295"/>
      <c r="ALK30" s="295"/>
      <c r="ALL30" s="313"/>
    </row>
    <row r="31" s="291" customFormat="1" ht="33.75" customHeight="1">
      <c r="C31" t="s" s="310">
        <v>361</v>
      </c>
      <c r="D31" s="213"/>
      <c r="E31" s="211"/>
      <c r="F31" t="s" s="310">
        <v>362</v>
      </c>
      <c r="G31" s="213"/>
      <c r="H31" s="211"/>
      <c r="I31" t="s" s="309">
        <v>363</v>
      </c>
      <c r="J31" s="307"/>
      <c r="K31" s="307"/>
      <c r="L31" s="307"/>
      <c r="M31" s="307"/>
      <c r="N31" s="307"/>
      <c r="O31" s="307"/>
      <c r="P31" s="307"/>
      <c r="Q31" s="307"/>
      <c r="R31" s="308"/>
      <c r="S31" t="s" s="310">
        <f>IF(AND(AND($S$20&gt;=27,$S$20&lt;47.5),$S$22="nein"),$F$31,"")</f>
      </c>
      <c r="T31" s="213"/>
      <c r="U31" s="211"/>
      <c r="V31" s="312"/>
      <c r="W31" s="295"/>
      <c r="X31" s="295"/>
      <c r="Y31" s="295"/>
      <c r="Z31" s="295"/>
      <c r="AA31" s="295"/>
      <c r="AB31" s="295"/>
      <c r="AC31" s="295"/>
      <c r="AD31" s="295"/>
      <c r="AE31" s="295"/>
      <c r="AF31" s="295"/>
      <c r="AG31" s="295"/>
      <c r="AH31" s="295"/>
      <c r="AI31" s="295"/>
      <c r="AJ31" s="295"/>
      <c r="AK31" s="295"/>
      <c r="AL31" s="295"/>
      <c r="AM31" s="295"/>
      <c r="AN31" s="295"/>
      <c r="AO31" s="295"/>
      <c r="AP31" s="295"/>
      <c r="AQ31" s="295"/>
      <c r="AR31" s="295"/>
      <c r="AS31" s="295"/>
      <c r="AT31" s="295"/>
      <c r="AU31" s="295"/>
      <c r="AV31" s="295"/>
      <c r="AW31" s="295"/>
      <c r="AX31" s="295"/>
      <c r="AY31" s="295"/>
      <c r="AZ31" s="295"/>
      <c r="BA31" s="295"/>
      <c r="BB31" s="295"/>
      <c r="BC31" s="295"/>
      <c r="BD31" s="295"/>
      <c r="BE31" s="295"/>
      <c r="BF31" s="295"/>
      <c r="BG31" s="295"/>
      <c r="BH31" s="295"/>
      <c r="BI31" s="295"/>
      <c r="BJ31" s="295"/>
      <c r="BK31" s="295"/>
      <c r="BL31" s="295"/>
      <c r="BM31" s="295"/>
      <c r="BN31" s="295"/>
      <c r="BO31" s="295"/>
      <c r="BP31" s="295"/>
      <c r="BQ31" s="295"/>
      <c r="BR31" s="295"/>
      <c r="BS31" s="295"/>
      <c r="BT31" s="295"/>
      <c r="BU31" s="295"/>
      <c r="BV31" s="295"/>
      <c r="BW31" s="295"/>
      <c r="BX31" s="295"/>
      <c r="BY31" s="295"/>
      <c r="BZ31" s="295"/>
      <c r="CA31" s="295"/>
      <c r="CB31" s="295"/>
      <c r="CC31" s="295"/>
      <c r="CD31" s="295"/>
      <c r="CE31" s="295"/>
      <c r="CF31" s="295"/>
      <c r="CG31" s="295"/>
      <c r="CH31" s="295"/>
      <c r="CI31" s="295"/>
      <c r="CJ31" s="295"/>
      <c r="CK31" s="295"/>
      <c r="CL31" s="295"/>
      <c r="CM31" s="295"/>
      <c r="CN31" s="295"/>
      <c r="CO31" s="295"/>
      <c r="CP31" s="295"/>
      <c r="CQ31" s="295"/>
      <c r="CR31" s="295"/>
      <c r="CS31" s="295"/>
      <c r="CT31" s="295"/>
      <c r="CU31" s="295"/>
      <c r="CV31" s="295"/>
      <c r="CW31" s="295"/>
      <c r="CX31" s="295"/>
      <c r="CY31" s="295"/>
      <c r="CZ31" s="295"/>
      <c r="DA31" s="295"/>
      <c r="DB31" s="295"/>
      <c r="DC31" s="295"/>
      <c r="DD31" s="295"/>
      <c r="DE31" s="295"/>
      <c r="DF31" s="295"/>
      <c r="DG31" s="295"/>
      <c r="DH31" s="295"/>
      <c r="DI31" s="295"/>
      <c r="DJ31" s="295"/>
      <c r="DK31" s="295"/>
      <c r="DL31" s="295"/>
      <c r="DM31" s="295"/>
      <c r="DN31" s="295"/>
      <c r="DO31" s="295"/>
      <c r="DP31" s="295"/>
      <c r="DQ31" s="295"/>
      <c r="DR31" s="295"/>
      <c r="DS31" s="295"/>
      <c r="DT31" s="295"/>
      <c r="DU31" s="295"/>
      <c r="DV31" s="295"/>
      <c r="DW31" s="295"/>
      <c r="DX31" s="295"/>
      <c r="DY31" s="295"/>
      <c r="DZ31" s="295"/>
      <c r="EA31" s="295"/>
      <c r="EB31" s="295"/>
      <c r="EC31" s="295"/>
      <c r="ED31" s="295"/>
      <c r="EE31" s="295"/>
      <c r="EF31" s="295"/>
      <c r="EG31" s="295"/>
      <c r="EH31" s="295"/>
      <c r="EI31" s="295"/>
      <c r="EJ31" s="295"/>
      <c r="EK31" s="295"/>
      <c r="EL31" s="295"/>
      <c r="EM31" s="295"/>
      <c r="EN31" s="295"/>
      <c r="EO31" s="295"/>
      <c r="EP31" s="295"/>
      <c r="EQ31" s="295"/>
      <c r="ER31" s="295"/>
      <c r="ES31" s="295"/>
      <c r="ET31" s="295"/>
      <c r="EU31" s="295"/>
      <c r="EV31" s="295"/>
      <c r="EW31" s="295"/>
      <c r="EX31" s="295"/>
      <c r="EY31" s="295"/>
      <c r="EZ31" s="295"/>
      <c r="FA31" s="295"/>
      <c r="FB31" s="295"/>
      <c r="FC31" s="295"/>
      <c r="FD31" s="295"/>
      <c r="FE31" s="295"/>
      <c r="FF31" s="295"/>
      <c r="FG31" s="295"/>
      <c r="FH31" s="295"/>
      <c r="FI31" s="295"/>
      <c r="FJ31" s="295"/>
      <c r="FK31" s="295"/>
      <c r="FL31" s="295"/>
      <c r="FM31" s="295"/>
      <c r="FN31" s="295"/>
      <c r="FO31" s="295"/>
      <c r="FP31" s="295"/>
      <c r="FQ31" s="295"/>
      <c r="FR31" s="295"/>
      <c r="FS31" s="295"/>
      <c r="FT31" s="295"/>
      <c r="FU31" s="295"/>
      <c r="FV31" s="295"/>
      <c r="FW31" s="295"/>
      <c r="FX31" s="295"/>
      <c r="FY31" s="295"/>
      <c r="FZ31" s="295"/>
      <c r="GA31" s="295"/>
      <c r="GB31" s="295"/>
      <c r="GC31" s="295"/>
      <c r="GD31" s="295"/>
      <c r="GE31" s="295"/>
      <c r="GF31" s="295"/>
      <c r="GG31" s="295"/>
      <c r="GH31" s="295"/>
      <c r="GI31" s="295"/>
      <c r="GJ31" s="295"/>
      <c r="GK31" s="295"/>
      <c r="GL31" s="295"/>
      <c r="GM31" s="295"/>
      <c r="GN31" s="295"/>
      <c r="GO31" s="295"/>
      <c r="GP31" s="295"/>
      <c r="GQ31" s="295"/>
      <c r="GR31" s="295"/>
      <c r="GS31" s="295"/>
      <c r="GT31" s="295"/>
      <c r="GU31" s="295"/>
      <c r="GV31" s="295"/>
      <c r="GW31" s="295"/>
      <c r="GX31" s="295"/>
      <c r="GY31" s="295"/>
      <c r="GZ31" s="295"/>
      <c r="HA31" s="295"/>
      <c r="HB31" s="295"/>
      <c r="HC31" s="295"/>
      <c r="HD31" s="295"/>
      <c r="HE31" s="295"/>
      <c r="HF31" s="295"/>
      <c r="HG31" s="295"/>
      <c r="HH31" s="295"/>
      <c r="HI31" s="295"/>
      <c r="HJ31" s="295"/>
      <c r="HK31" s="295"/>
      <c r="HL31" s="295"/>
      <c r="HM31" s="295"/>
      <c r="HN31" s="295"/>
      <c r="HO31" s="295"/>
      <c r="HP31" s="295"/>
      <c r="HQ31" s="295"/>
      <c r="HR31" s="295"/>
      <c r="HS31" s="295"/>
      <c r="HT31" s="295"/>
      <c r="HU31" s="295"/>
      <c r="HV31" s="295"/>
      <c r="HW31" s="295"/>
      <c r="HX31" s="295"/>
      <c r="HY31" s="295"/>
      <c r="HZ31" s="295"/>
      <c r="IA31" s="295"/>
      <c r="IB31" s="295"/>
      <c r="IC31" s="295"/>
      <c r="ID31" s="295"/>
      <c r="IE31" s="295"/>
      <c r="IF31" s="295"/>
      <c r="IG31" s="295"/>
      <c r="IH31" s="295"/>
      <c r="II31" s="295"/>
      <c r="IJ31" s="295"/>
      <c r="IK31" s="295"/>
      <c r="IL31" s="295"/>
      <c r="IM31" s="295"/>
      <c r="IN31" s="295"/>
      <c r="IO31" s="295"/>
      <c r="IP31" s="295"/>
      <c r="IQ31" s="295"/>
      <c r="IR31" s="295"/>
      <c r="IS31" s="295"/>
      <c r="IT31" s="295"/>
      <c r="IU31" s="295"/>
      <c r="IV31" s="295"/>
      <c r="IW31" s="295"/>
      <c r="IX31" s="295"/>
      <c r="IY31" s="295"/>
      <c r="IZ31" s="295"/>
      <c r="JA31" s="295"/>
      <c r="JB31" s="295"/>
      <c r="JC31" s="295"/>
      <c r="JD31" s="295"/>
      <c r="JE31" s="295"/>
      <c r="JF31" s="295"/>
      <c r="JG31" s="295"/>
      <c r="JH31" s="295"/>
      <c r="JI31" s="295"/>
      <c r="JJ31" s="295"/>
      <c r="JK31" s="295"/>
      <c r="JL31" s="295"/>
      <c r="JM31" s="295"/>
      <c r="JN31" s="295"/>
      <c r="JO31" s="295"/>
      <c r="JP31" s="295"/>
      <c r="JQ31" s="295"/>
      <c r="JR31" s="295"/>
      <c r="JS31" s="295"/>
      <c r="JT31" s="295"/>
      <c r="JU31" s="295"/>
      <c r="JV31" s="295"/>
      <c r="JW31" s="295"/>
      <c r="JX31" s="295"/>
      <c r="JY31" s="295"/>
      <c r="JZ31" s="295"/>
      <c r="KA31" s="295"/>
      <c r="KB31" s="295"/>
      <c r="KC31" s="295"/>
      <c r="KD31" s="295"/>
      <c r="KE31" s="295"/>
      <c r="KF31" s="295"/>
      <c r="KG31" s="295"/>
      <c r="KH31" s="295"/>
      <c r="KI31" s="295"/>
      <c r="KJ31" s="295"/>
      <c r="KK31" s="295"/>
      <c r="KL31" s="295"/>
      <c r="KM31" s="295"/>
      <c r="KN31" s="295"/>
      <c r="KO31" s="295"/>
      <c r="KP31" s="295"/>
      <c r="KQ31" s="295"/>
      <c r="KR31" s="295"/>
      <c r="KS31" s="295"/>
      <c r="KT31" s="295"/>
      <c r="KU31" s="295"/>
      <c r="KV31" s="295"/>
      <c r="KW31" s="295"/>
      <c r="KX31" s="295"/>
      <c r="KY31" s="295"/>
      <c r="KZ31" s="295"/>
      <c r="LA31" s="295"/>
      <c r="LB31" s="295"/>
      <c r="LC31" s="295"/>
      <c r="LD31" s="295"/>
      <c r="LE31" s="295"/>
      <c r="LF31" s="295"/>
      <c r="LG31" s="295"/>
      <c r="LH31" s="295"/>
      <c r="LI31" s="295"/>
      <c r="LJ31" s="295"/>
      <c r="LK31" s="295"/>
      <c r="LL31" s="295"/>
      <c r="LM31" s="295"/>
      <c r="LN31" s="295"/>
      <c r="LO31" s="295"/>
      <c r="LP31" s="295"/>
      <c r="LQ31" s="295"/>
      <c r="LR31" s="295"/>
      <c r="LS31" s="295"/>
      <c r="LT31" s="295"/>
      <c r="LU31" s="295"/>
      <c r="LV31" s="295"/>
      <c r="LW31" s="295"/>
      <c r="LX31" s="295"/>
      <c r="LY31" s="295"/>
      <c r="LZ31" s="295"/>
      <c r="MA31" s="295"/>
      <c r="MB31" s="295"/>
      <c r="MC31" s="295"/>
      <c r="MD31" s="295"/>
      <c r="ME31" s="295"/>
      <c r="MF31" s="295"/>
      <c r="MG31" s="295"/>
      <c r="MH31" s="295"/>
      <c r="MI31" s="295"/>
      <c r="MJ31" s="295"/>
      <c r="MK31" s="295"/>
      <c r="ML31" s="295"/>
      <c r="MM31" s="295"/>
      <c r="MN31" s="295"/>
      <c r="MO31" s="295"/>
      <c r="MP31" s="295"/>
      <c r="MQ31" s="295"/>
      <c r="MR31" s="295"/>
      <c r="MS31" s="295"/>
      <c r="MT31" s="295"/>
      <c r="MU31" s="295"/>
      <c r="MV31" s="295"/>
      <c r="MW31" s="295"/>
      <c r="MX31" s="295"/>
      <c r="MY31" s="295"/>
      <c r="MZ31" s="295"/>
      <c r="NA31" s="295"/>
      <c r="NB31" s="295"/>
      <c r="NC31" s="295"/>
      <c r="ND31" s="295"/>
      <c r="NE31" s="295"/>
      <c r="NF31" s="295"/>
      <c r="NG31" s="295"/>
      <c r="NH31" s="295"/>
      <c r="NI31" s="295"/>
      <c r="NJ31" s="295"/>
      <c r="NK31" s="295"/>
      <c r="NL31" s="295"/>
      <c r="NM31" s="295"/>
      <c r="NN31" s="295"/>
      <c r="NO31" s="295"/>
      <c r="NP31" s="295"/>
      <c r="NQ31" s="295"/>
      <c r="NR31" s="295"/>
      <c r="NS31" s="295"/>
      <c r="NT31" s="295"/>
      <c r="NU31" s="295"/>
      <c r="NV31" s="295"/>
      <c r="NW31" s="295"/>
      <c r="NX31" s="295"/>
      <c r="NY31" s="295"/>
      <c r="NZ31" s="295"/>
      <c r="OA31" s="295"/>
      <c r="OB31" s="295"/>
      <c r="OC31" s="295"/>
      <c r="OD31" s="295"/>
      <c r="OE31" s="295"/>
      <c r="OF31" s="295"/>
      <c r="OG31" s="295"/>
      <c r="OH31" s="295"/>
      <c r="OI31" s="295"/>
      <c r="OJ31" s="295"/>
      <c r="OK31" s="295"/>
      <c r="OL31" s="295"/>
      <c r="OM31" s="295"/>
      <c r="ON31" s="295"/>
      <c r="OO31" s="295"/>
      <c r="OP31" s="295"/>
      <c r="OQ31" s="295"/>
      <c r="OR31" s="295"/>
      <c r="OS31" s="295"/>
      <c r="OT31" s="295"/>
      <c r="OU31" s="295"/>
      <c r="OV31" s="295"/>
      <c r="OW31" s="295"/>
      <c r="OX31" s="295"/>
      <c r="OY31" s="295"/>
      <c r="OZ31" s="295"/>
      <c r="PA31" s="295"/>
      <c r="PB31" s="295"/>
      <c r="PC31" s="295"/>
      <c r="PD31" s="295"/>
      <c r="PE31" s="295"/>
      <c r="PF31" s="295"/>
      <c r="PG31" s="295"/>
      <c r="PH31" s="295"/>
      <c r="PI31" s="295"/>
      <c r="PJ31" s="295"/>
      <c r="PK31" s="295"/>
      <c r="PL31" s="295"/>
      <c r="PM31" s="295"/>
      <c r="PN31" s="295"/>
      <c r="PO31" s="295"/>
      <c r="PP31" s="295"/>
      <c r="PQ31" s="295"/>
      <c r="PR31" s="295"/>
      <c r="PS31" s="295"/>
      <c r="PT31" s="295"/>
      <c r="PU31" s="295"/>
      <c r="PV31" s="295"/>
      <c r="PW31" s="295"/>
      <c r="PX31" s="295"/>
      <c r="PY31" s="295"/>
      <c r="PZ31" s="295"/>
      <c r="QA31" s="295"/>
      <c r="QB31" s="295"/>
      <c r="QC31" s="295"/>
      <c r="QD31" s="295"/>
      <c r="QE31" s="295"/>
      <c r="QF31" s="295"/>
      <c r="QG31" s="295"/>
      <c r="QH31" s="295"/>
      <c r="QI31" s="295"/>
      <c r="QJ31" s="295"/>
      <c r="QK31" s="295"/>
      <c r="QL31" s="295"/>
      <c r="QM31" s="295"/>
      <c r="QN31" s="295"/>
      <c r="QO31" s="295"/>
      <c r="QP31" s="295"/>
      <c r="QQ31" s="295"/>
      <c r="QR31" s="295"/>
      <c r="QS31" s="295"/>
      <c r="QT31" s="295"/>
      <c r="QU31" s="295"/>
      <c r="QV31" s="295"/>
      <c r="QW31" s="295"/>
      <c r="QX31" s="295"/>
      <c r="QY31" s="295"/>
      <c r="QZ31" s="295"/>
      <c r="RA31" s="295"/>
      <c r="RB31" s="295"/>
      <c r="RC31" s="295"/>
      <c r="RD31" s="295"/>
      <c r="RE31" s="295"/>
      <c r="RF31" s="295"/>
      <c r="RG31" s="295"/>
      <c r="RH31" s="295"/>
      <c r="RI31" s="295"/>
      <c r="RJ31" s="295"/>
      <c r="RK31" s="295"/>
      <c r="RL31" s="295"/>
      <c r="RM31" s="295"/>
      <c r="RN31" s="295"/>
      <c r="RO31" s="295"/>
      <c r="RP31" s="295"/>
      <c r="RQ31" s="295"/>
      <c r="RR31" s="295"/>
      <c r="RS31" s="295"/>
      <c r="RT31" s="295"/>
      <c r="RU31" s="295"/>
      <c r="RV31" s="295"/>
      <c r="RW31" s="295"/>
      <c r="RX31" s="295"/>
      <c r="RY31" s="295"/>
      <c r="RZ31" s="295"/>
      <c r="SA31" s="295"/>
      <c r="SB31" s="295"/>
      <c r="SC31" s="295"/>
      <c r="SD31" s="295"/>
      <c r="SE31" s="295"/>
      <c r="SF31" s="295"/>
      <c r="SG31" s="295"/>
      <c r="SH31" s="295"/>
      <c r="SI31" s="295"/>
      <c r="SJ31" s="295"/>
      <c r="SK31" s="295"/>
      <c r="SL31" s="295"/>
      <c r="SM31" s="295"/>
      <c r="SN31" s="295"/>
      <c r="SO31" s="295"/>
      <c r="SP31" s="295"/>
      <c r="SQ31" s="295"/>
      <c r="SR31" s="295"/>
      <c r="SS31" s="295"/>
      <c r="ST31" s="295"/>
      <c r="SU31" s="295"/>
      <c r="SV31" s="295"/>
      <c r="SW31" s="295"/>
      <c r="SX31" s="295"/>
      <c r="SY31" s="295"/>
      <c r="SZ31" s="295"/>
      <c r="TA31" s="295"/>
      <c r="TB31" s="295"/>
      <c r="TC31" s="295"/>
      <c r="TD31" s="295"/>
      <c r="TE31" s="295"/>
      <c r="TF31" s="295"/>
      <c r="TG31" s="295"/>
      <c r="TH31" s="295"/>
      <c r="TI31" s="295"/>
      <c r="TJ31" s="295"/>
      <c r="TK31" s="295"/>
      <c r="TL31" s="295"/>
      <c r="TM31" s="295"/>
      <c r="TN31" s="295"/>
      <c r="TO31" s="295"/>
      <c r="TP31" s="295"/>
      <c r="TQ31" s="295"/>
      <c r="TR31" s="295"/>
      <c r="TS31" s="295"/>
      <c r="TT31" s="295"/>
      <c r="TU31" s="295"/>
      <c r="TV31" s="295"/>
      <c r="TW31" s="295"/>
      <c r="TX31" s="295"/>
      <c r="TY31" s="295"/>
      <c r="TZ31" s="295"/>
      <c r="UA31" s="295"/>
      <c r="UB31" s="295"/>
      <c r="UC31" s="295"/>
      <c r="UD31" s="295"/>
      <c r="UE31" s="295"/>
      <c r="UF31" s="295"/>
      <c r="UG31" s="295"/>
      <c r="UH31" s="295"/>
      <c r="UI31" s="295"/>
      <c r="UJ31" s="295"/>
      <c r="UK31" s="295"/>
      <c r="UL31" s="295"/>
      <c r="UM31" s="295"/>
      <c r="UN31" s="295"/>
      <c r="UO31" s="295"/>
      <c r="UP31" s="295"/>
      <c r="UQ31" s="295"/>
      <c r="UR31" s="295"/>
      <c r="US31" s="295"/>
      <c r="UT31" s="295"/>
      <c r="UU31" s="295"/>
      <c r="UV31" s="295"/>
      <c r="UW31" s="295"/>
      <c r="UX31" s="295"/>
      <c r="UY31" s="295"/>
      <c r="UZ31" s="295"/>
      <c r="VA31" s="295"/>
      <c r="VB31" s="295"/>
      <c r="VC31" s="295"/>
      <c r="VD31" s="295"/>
      <c r="VE31" s="295"/>
      <c r="VF31" s="295"/>
      <c r="VG31" s="295"/>
      <c r="VH31" s="295"/>
      <c r="VI31" s="295"/>
      <c r="VJ31" s="295"/>
      <c r="VK31" s="295"/>
      <c r="VL31" s="295"/>
      <c r="VM31" s="295"/>
      <c r="VN31" s="295"/>
      <c r="VO31" s="295"/>
      <c r="VP31" s="295"/>
      <c r="VQ31" s="295"/>
      <c r="VR31" s="295"/>
      <c r="VS31" s="295"/>
      <c r="VT31" s="295"/>
      <c r="VU31" s="295"/>
      <c r="VV31" s="295"/>
      <c r="VW31" s="295"/>
      <c r="VX31" s="295"/>
      <c r="VY31" s="295"/>
      <c r="VZ31" s="295"/>
      <c r="WA31" s="295"/>
      <c r="WB31" s="295"/>
      <c r="WC31" s="295"/>
      <c r="WD31" s="295"/>
      <c r="WE31" s="295"/>
      <c r="WF31" s="295"/>
      <c r="WG31" s="295"/>
      <c r="WH31" s="295"/>
      <c r="WI31" s="295"/>
      <c r="WJ31" s="295"/>
      <c r="WK31" s="295"/>
      <c r="WL31" s="295"/>
      <c r="WM31" s="295"/>
      <c r="WN31" s="295"/>
      <c r="WO31" s="295"/>
      <c r="WP31" s="295"/>
      <c r="WQ31" s="295"/>
      <c r="WR31" s="295"/>
      <c r="WS31" s="295"/>
      <c r="WT31" s="295"/>
      <c r="WU31" s="295"/>
      <c r="WV31" s="295"/>
      <c r="WW31" s="295"/>
      <c r="WX31" s="295"/>
      <c r="WY31" s="295"/>
      <c r="WZ31" s="295"/>
      <c r="XA31" s="295"/>
      <c r="XB31" s="295"/>
      <c r="XC31" s="295"/>
      <c r="XD31" s="295"/>
      <c r="XE31" s="295"/>
      <c r="XF31" s="295"/>
      <c r="XG31" s="295"/>
      <c r="XH31" s="295"/>
      <c r="XI31" s="295"/>
      <c r="XJ31" s="295"/>
      <c r="XK31" s="295"/>
      <c r="XL31" s="295"/>
      <c r="XM31" s="295"/>
      <c r="XN31" s="295"/>
      <c r="XO31" s="295"/>
      <c r="XP31" s="295"/>
      <c r="XQ31" s="295"/>
      <c r="XR31" s="295"/>
      <c r="XS31" s="295"/>
      <c r="XT31" s="295"/>
      <c r="XU31" s="295"/>
      <c r="XV31" s="295"/>
      <c r="XW31" s="295"/>
      <c r="XX31" s="295"/>
      <c r="XY31" s="295"/>
      <c r="XZ31" s="295"/>
      <c r="YA31" s="295"/>
      <c r="YB31" s="295"/>
      <c r="YC31" s="295"/>
      <c r="YD31" s="295"/>
      <c r="YE31" s="295"/>
      <c r="YF31" s="295"/>
      <c r="YG31" s="295"/>
      <c r="YH31" s="295"/>
      <c r="YI31" s="295"/>
      <c r="YJ31" s="295"/>
      <c r="YK31" s="295"/>
      <c r="YL31" s="295"/>
      <c r="YM31" s="295"/>
      <c r="YN31" s="295"/>
      <c r="YO31" s="295"/>
      <c r="YP31" s="295"/>
      <c r="YQ31" s="295"/>
      <c r="YR31" s="295"/>
      <c r="YS31" s="295"/>
      <c r="YT31" s="295"/>
      <c r="YU31" s="295"/>
      <c r="YV31" s="295"/>
      <c r="YW31" s="295"/>
      <c r="YX31" s="295"/>
      <c r="YY31" s="295"/>
      <c r="YZ31" s="295"/>
      <c r="ZA31" s="295"/>
      <c r="ZB31" s="295"/>
      <c r="ZC31" s="295"/>
      <c r="ZD31" s="295"/>
      <c r="ZE31" s="295"/>
      <c r="ZF31" s="295"/>
      <c r="ZG31" s="295"/>
      <c r="ZH31" s="295"/>
      <c r="ZI31" s="295"/>
      <c r="ZJ31" s="295"/>
      <c r="ZK31" s="295"/>
      <c r="ZL31" s="295"/>
      <c r="ZM31" s="295"/>
      <c r="ZN31" s="295"/>
      <c r="ZO31" s="295"/>
      <c r="ZP31" s="295"/>
      <c r="ZQ31" s="295"/>
      <c r="ZR31" s="295"/>
      <c r="ZS31" s="295"/>
      <c r="ZT31" s="295"/>
      <c r="ZU31" s="295"/>
      <c r="ZV31" s="295"/>
      <c r="ZW31" s="295"/>
      <c r="ZX31" s="295"/>
      <c r="ZY31" s="295"/>
      <c r="ZZ31" s="295"/>
      <c r="AAA31" s="295"/>
      <c r="AAB31" s="295"/>
      <c r="AAC31" s="295"/>
      <c r="AAD31" s="295"/>
      <c r="AAE31" s="295"/>
      <c r="AAF31" s="295"/>
      <c r="AAG31" s="295"/>
      <c r="AAH31" s="295"/>
      <c r="AAI31" s="295"/>
      <c r="AAJ31" s="295"/>
      <c r="AAK31" s="295"/>
      <c r="AAL31" s="295"/>
      <c r="AAM31" s="295"/>
      <c r="AAN31" s="295"/>
      <c r="AAO31" s="295"/>
      <c r="AAP31" s="295"/>
      <c r="AAQ31" s="295"/>
      <c r="AAR31" s="295"/>
      <c r="AAS31" s="295"/>
      <c r="AAT31" s="295"/>
      <c r="AAU31" s="295"/>
      <c r="AAV31" s="295"/>
      <c r="AAW31" s="295"/>
      <c r="AAX31" s="295"/>
      <c r="AAY31" s="295"/>
      <c r="AAZ31" s="295"/>
      <c r="ABA31" s="295"/>
      <c r="ABB31" s="295"/>
      <c r="ABC31" s="295"/>
      <c r="ABD31" s="295"/>
      <c r="ABE31" s="295"/>
      <c r="ABF31" s="295"/>
      <c r="ABG31" s="295"/>
      <c r="ABH31" s="295"/>
      <c r="ABI31" s="295"/>
      <c r="ABJ31" s="295"/>
      <c r="ABK31" s="295"/>
      <c r="ABL31" s="295"/>
      <c r="ABM31" s="295"/>
      <c r="ABN31" s="295"/>
      <c r="ABO31" s="295"/>
      <c r="ABP31" s="295"/>
      <c r="ABQ31" s="295"/>
      <c r="ABR31" s="295"/>
      <c r="ABS31" s="295"/>
      <c r="ABT31" s="295"/>
      <c r="ABU31" s="295"/>
      <c r="ABV31" s="295"/>
      <c r="ABW31" s="295"/>
      <c r="ABX31" s="295"/>
      <c r="ABY31" s="295"/>
      <c r="ABZ31" s="295"/>
      <c r="ACA31" s="295"/>
      <c r="ACB31" s="295"/>
      <c r="ACC31" s="295"/>
      <c r="ACD31" s="295"/>
      <c r="ACE31" s="295"/>
      <c r="ACF31" s="295"/>
      <c r="ACG31" s="295"/>
      <c r="ACH31" s="295"/>
      <c r="ACI31" s="295"/>
      <c r="ACJ31" s="295"/>
      <c r="ACK31" s="295"/>
      <c r="ACL31" s="295"/>
      <c r="ACM31" s="295"/>
      <c r="ACN31" s="295"/>
      <c r="ACO31" s="295"/>
      <c r="ACP31" s="295"/>
      <c r="ACQ31" s="295"/>
      <c r="ACR31" s="295"/>
      <c r="ACS31" s="295"/>
      <c r="ACT31" s="295"/>
      <c r="ACU31" s="295"/>
      <c r="ACV31" s="295"/>
      <c r="ACW31" s="295"/>
      <c r="ACX31" s="295"/>
      <c r="ACY31" s="295"/>
      <c r="ACZ31" s="295"/>
      <c r="ADA31" s="295"/>
      <c r="ADB31" s="295"/>
      <c r="ADC31" s="295"/>
      <c r="ADD31" s="295"/>
      <c r="ADE31" s="295"/>
      <c r="ADF31" s="295"/>
      <c r="ADG31" s="295"/>
      <c r="ADH31" s="295"/>
      <c r="ADI31" s="295"/>
      <c r="ADJ31" s="295"/>
      <c r="ADK31" s="295"/>
      <c r="ADL31" s="295"/>
      <c r="ADM31" s="295"/>
      <c r="ADN31" s="295"/>
      <c r="ADO31" s="295"/>
      <c r="ADP31" s="295"/>
      <c r="ADQ31" s="295"/>
      <c r="ADR31" s="295"/>
      <c r="ADS31" s="295"/>
      <c r="ADT31" s="295"/>
      <c r="ADU31" s="295"/>
      <c r="ADV31" s="295"/>
      <c r="ADW31" s="295"/>
      <c r="ADX31" s="295"/>
      <c r="ADY31" s="295"/>
      <c r="ADZ31" s="295"/>
      <c r="AEA31" s="295"/>
      <c r="AEB31" s="295"/>
      <c r="AEC31" s="295"/>
      <c r="AED31" s="295"/>
      <c r="AEE31" s="295"/>
      <c r="AEF31" s="295"/>
      <c r="AEG31" s="295"/>
      <c r="AEH31" s="295"/>
      <c r="AEI31" s="295"/>
      <c r="AEJ31" s="295"/>
      <c r="AEK31" s="295"/>
      <c r="AEL31" s="295"/>
      <c r="AEM31" s="295"/>
      <c r="AEN31" s="295"/>
      <c r="AEO31" s="295"/>
      <c r="AEP31" s="295"/>
      <c r="AEQ31" s="295"/>
      <c r="AER31" s="295"/>
      <c r="AES31" s="295"/>
      <c r="AET31" s="295"/>
      <c r="AEU31" s="295"/>
      <c r="AEV31" s="295"/>
      <c r="AEW31" s="295"/>
      <c r="AEX31" s="295"/>
      <c r="AEY31" s="295"/>
      <c r="AEZ31" s="295"/>
      <c r="AFA31" s="295"/>
      <c r="AFB31" s="295"/>
      <c r="AFC31" s="295"/>
      <c r="AFD31" s="295"/>
      <c r="AFE31" s="295"/>
      <c r="AFF31" s="295"/>
      <c r="AFG31" s="295"/>
      <c r="AFH31" s="295"/>
      <c r="AFI31" s="295"/>
      <c r="AFJ31" s="295"/>
      <c r="AFK31" s="295"/>
      <c r="AFL31" s="295"/>
      <c r="AFM31" s="295"/>
      <c r="AFN31" s="295"/>
      <c r="AFO31" s="295"/>
      <c r="AFP31" s="295"/>
      <c r="AFQ31" s="295"/>
      <c r="AFR31" s="295"/>
      <c r="AFS31" s="295"/>
      <c r="AFT31" s="295"/>
      <c r="AFU31" s="295"/>
      <c r="AFV31" s="295"/>
      <c r="AFW31" s="295"/>
      <c r="AFX31" s="295"/>
      <c r="AFY31" s="295"/>
      <c r="AFZ31" s="295"/>
      <c r="AGA31" s="295"/>
      <c r="AGB31" s="295"/>
      <c r="AGC31" s="295"/>
      <c r="AGD31" s="295"/>
      <c r="AGE31" s="295"/>
      <c r="AGF31" s="295"/>
      <c r="AGG31" s="295"/>
      <c r="AGH31" s="295"/>
      <c r="AGI31" s="295"/>
      <c r="AGJ31" s="295"/>
      <c r="AGK31" s="295"/>
      <c r="AGL31" s="295"/>
      <c r="AGM31" s="295"/>
      <c r="AGN31" s="295"/>
      <c r="AGO31" s="295"/>
      <c r="AGP31" s="295"/>
      <c r="AGQ31" s="295"/>
      <c r="AGR31" s="295"/>
      <c r="AGS31" s="295"/>
      <c r="AGT31" s="295"/>
      <c r="AGU31" s="295"/>
      <c r="AGV31" s="295"/>
      <c r="AGW31" s="295"/>
      <c r="AGX31" s="295"/>
      <c r="AGY31" s="295"/>
      <c r="AGZ31" s="295"/>
      <c r="AHA31" s="295"/>
      <c r="AHB31" s="295"/>
      <c r="AHC31" s="295"/>
      <c r="AHD31" s="295"/>
      <c r="AHE31" s="295"/>
      <c r="AHF31" s="295"/>
      <c r="AHG31" s="295"/>
      <c r="AHH31" s="295"/>
      <c r="AHI31" s="295"/>
      <c r="AHJ31" s="295"/>
      <c r="AHK31" s="295"/>
      <c r="AHL31" s="295"/>
      <c r="AHM31" s="295"/>
      <c r="AHN31" s="295"/>
      <c r="AHO31" s="295"/>
      <c r="AHP31" s="295"/>
      <c r="AHQ31" s="295"/>
      <c r="AHR31" s="295"/>
      <c r="AHS31" s="295"/>
      <c r="AHT31" s="295"/>
      <c r="AHU31" s="295"/>
      <c r="AHV31" s="295"/>
      <c r="AHW31" s="295"/>
      <c r="AHX31" s="295"/>
      <c r="AHY31" s="295"/>
      <c r="AHZ31" s="295"/>
      <c r="AIA31" s="295"/>
      <c r="AIB31" s="295"/>
      <c r="AIC31" s="295"/>
      <c r="AID31" s="295"/>
      <c r="AIE31" s="295"/>
      <c r="AIF31" s="295"/>
      <c r="AIG31" s="295"/>
      <c r="AIH31" s="295"/>
      <c r="AII31" s="295"/>
      <c r="AIJ31" s="295"/>
      <c r="AIK31" s="295"/>
      <c r="AIL31" s="295"/>
      <c r="AIM31" s="295"/>
      <c r="AIN31" s="295"/>
      <c r="AIO31" s="295"/>
      <c r="AIP31" s="295"/>
      <c r="AIQ31" s="295"/>
      <c r="AIR31" s="295"/>
      <c r="AIS31" s="295"/>
      <c r="AIT31" s="295"/>
      <c r="AIU31" s="295"/>
      <c r="AIV31" s="295"/>
      <c r="AIW31" s="295"/>
      <c r="AIX31" s="295"/>
      <c r="AIY31" s="295"/>
      <c r="AIZ31" s="295"/>
      <c r="AJA31" s="295"/>
      <c r="AJB31" s="295"/>
      <c r="AJC31" s="295"/>
      <c r="AJD31" s="295"/>
      <c r="AJE31" s="295"/>
      <c r="AJF31" s="295"/>
      <c r="AJG31" s="295"/>
      <c r="AJH31" s="295"/>
      <c r="AJI31" s="295"/>
      <c r="AJJ31" s="295"/>
      <c r="AJK31" s="295"/>
      <c r="AJL31" s="295"/>
      <c r="AJM31" s="295"/>
      <c r="AJN31" s="295"/>
      <c r="AJO31" s="295"/>
      <c r="AJP31" s="295"/>
      <c r="AJQ31" s="295"/>
      <c r="AJR31" s="295"/>
      <c r="AJS31" s="295"/>
      <c r="AJT31" s="295"/>
      <c r="AJU31" s="295"/>
      <c r="AJV31" s="295"/>
      <c r="AJW31" s="295"/>
      <c r="AJX31" s="295"/>
      <c r="AJY31" s="295"/>
      <c r="AJZ31" s="295"/>
      <c r="AKA31" s="295"/>
      <c r="AKB31" s="295"/>
      <c r="AKC31" s="295"/>
      <c r="AKD31" s="295"/>
      <c r="AKE31" s="295"/>
      <c r="AKF31" s="295"/>
      <c r="AKG31" s="295"/>
      <c r="AKH31" s="295"/>
      <c r="AKI31" s="295"/>
      <c r="AKJ31" s="295"/>
      <c r="AKK31" s="295"/>
      <c r="AKL31" s="295"/>
      <c r="AKM31" s="295"/>
      <c r="AKN31" s="295"/>
      <c r="AKO31" s="295"/>
      <c r="AKP31" s="295"/>
      <c r="AKQ31" s="295"/>
      <c r="AKR31" s="295"/>
      <c r="AKS31" s="295"/>
      <c r="AKT31" s="295"/>
      <c r="AKU31" s="295"/>
      <c r="AKV31" s="295"/>
      <c r="AKW31" s="295"/>
      <c r="AKX31" s="295"/>
      <c r="AKY31" s="295"/>
      <c r="AKZ31" s="295"/>
      <c r="ALA31" s="295"/>
      <c r="ALB31" s="295"/>
      <c r="ALC31" s="295"/>
      <c r="ALD31" s="295"/>
      <c r="ALE31" s="295"/>
      <c r="ALF31" s="295"/>
      <c r="ALG31" s="295"/>
      <c r="ALH31" s="295"/>
      <c r="ALI31" s="295"/>
      <c r="ALJ31" s="295"/>
      <c r="ALK31" s="295"/>
      <c r="ALL31" s="313"/>
    </row>
    <row r="32" s="291" customFormat="1" ht="33.75" customHeight="1">
      <c r="C32" t="s" s="310">
        <v>364</v>
      </c>
      <c r="D32" s="213"/>
      <c r="E32" s="211"/>
      <c r="F32" t="s" s="310">
        <v>365</v>
      </c>
      <c r="G32" s="213"/>
      <c r="H32" s="211"/>
      <c r="I32" t="s" s="309">
        <v>366</v>
      </c>
      <c r="J32" s="307"/>
      <c r="K32" s="307"/>
      <c r="L32" s="307"/>
      <c r="M32" s="307"/>
      <c r="N32" s="307"/>
      <c r="O32" s="307"/>
      <c r="P32" s="307"/>
      <c r="Q32" s="307"/>
      <c r="R32" s="308"/>
      <c r="S32" t="s" s="310">
        <f>IF(AND(AND($S$20&gt;=47.5,$S$20&lt;70),$S$22="nein"),$F$32,"")</f>
      </c>
      <c r="T32" s="213"/>
      <c r="U32" s="211"/>
      <c r="V32" s="312"/>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5"/>
      <c r="BK32" s="295"/>
      <c r="BL32" s="295"/>
      <c r="BM32" s="295"/>
      <c r="BN32" s="295"/>
      <c r="BO32" s="295"/>
      <c r="BP32" s="295"/>
      <c r="BQ32" s="295"/>
      <c r="BR32" s="295"/>
      <c r="BS32" s="295"/>
      <c r="BT32" s="295"/>
      <c r="BU32" s="295"/>
      <c r="BV32" s="295"/>
      <c r="BW32" s="295"/>
      <c r="BX32" s="295"/>
      <c r="BY32" s="295"/>
      <c r="BZ32" s="295"/>
      <c r="CA32" s="295"/>
      <c r="CB32" s="295"/>
      <c r="CC32" s="295"/>
      <c r="CD32" s="295"/>
      <c r="CE32" s="295"/>
      <c r="CF32" s="295"/>
      <c r="CG32" s="295"/>
      <c r="CH32" s="295"/>
      <c r="CI32" s="295"/>
      <c r="CJ32" s="295"/>
      <c r="CK32" s="295"/>
      <c r="CL32" s="295"/>
      <c r="CM32" s="295"/>
      <c r="CN32" s="295"/>
      <c r="CO32" s="295"/>
      <c r="CP32" s="295"/>
      <c r="CQ32" s="295"/>
      <c r="CR32" s="295"/>
      <c r="CS32" s="295"/>
      <c r="CT32" s="295"/>
      <c r="CU32" s="295"/>
      <c r="CV32" s="295"/>
      <c r="CW32" s="295"/>
      <c r="CX32" s="295"/>
      <c r="CY32" s="295"/>
      <c r="CZ32" s="295"/>
      <c r="DA32" s="295"/>
      <c r="DB32" s="295"/>
      <c r="DC32" s="295"/>
      <c r="DD32" s="295"/>
      <c r="DE32" s="295"/>
      <c r="DF32" s="295"/>
      <c r="DG32" s="295"/>
      <c r="DH32" s="295"/>
      <c r="DI32" s="295"/>
      <c r="DJ32" s="295"/>
      <c r="DK32" s="295"/>
      <c r="DL32" s="295"/>
      <c r="DM32" s="295"/>
      <c r="DN32" s="295"/>
      <c r="DO32" s="295"/>
      <c r="DP32" s="295"/>
      <c r="DQ32" s="295"/>
      <c r="DR32" s="295"/>
      <c r="DS32" s="295"/>
      <c r="DT32" s="295"/>
      <c r="DU32" s="295"/>
      <c r="DV32" s="295"/>
      <c r="DW32" s="295"/>
      <c r="DX32" s="295"/>
      <c r="DY32" s="295"/>
      <c r="DZ32" s="295"/>
      <c r="EA32" s="295"/>
      <c r="EB32" s="295"/>
      <c r="EC32" s="295"/>
      <c r="ED32" s="295"/>
      <c r="EE32" s="295"/>
      <c r="EF32" s="295"/>
      <c r="EG32" s="295"/>
      <c r="EH32" s="295"/>
      <c r="EI32" s="295"/>
      <c r="EJ32" s="295"/>
      <c r="EK32" s="295"/>
      <c r="EL32" s="295"/>
      <c r="EM32" s="295"/>
      <c r="EN32" s="295"/>
      <c r="EO32" s="295"/>
      <c r="EP32" s="295"/>
      <c r="EQ32" s="295"/>
      <c r="ER32" s="295"/>
      <c r="ES32" s="295"/>
      <c r="ET32" s="295"/>
      <c r="EU32" s="295"/>
      <c r="EV32" s="295"/>
      <c r="EW32" s="295"/>
      <c r="EX32" s="295"/>
      <c r="EY32" s="295"/>
      <c r="EZ32" s="295"/>
      <c r="FA32" s="295"/>
      <c r="FB32" s="295"/>
      <c r="FC32" s="295"/>
      <c r="FD32" s="295"/>
      <c r="FE32" s="295"/>
      <c r="FF32" s="295"/>
      <c r="FG32" s="295"/>
      <c r="FH32" s="295"/>
      <c r="FI32" s="295"/>
      <c r="FJ32" s="295"/>
      <c r="FK32" s="295"/>
      <c r="FL32" s="295"/>
      <c r="FM32" s="295"/>
      <c r="FN32" s="295"/>
      <c r="FO32" s="295"/>
      <c r="FP32" s="295"/>
      <c r="FQ32" s="295"/>
      <c r="FR32" s="295"/>
      <c r="FS32" s="295"/>
      <c r="FT32" s="295"/>
      <c r="FU32" s="295"/>
      <c r="FV32" s="295"/>
      <c r="FW32" s="295"/>
      <c r="FX32" s="295"/>
      <c r="FY32" s="295"/>
      <c r="FZ32" s="295"/>
      <c r="GA32" s="295"/>
      <c r="GB32" s="295"/>
      <c r="GC32" s="295"/>
      <c r="GD32" s="295"/>
      <c r="GE32" s="295"/>
      <c r="GF32" s="295"/>
      <c r="GG32" s="295"/>
      <c r="GH32" s="295"/>
      <c r="GI32" s="295"/>
      <c r="GJ32" s="295"/>
      <c r="GK32" s="295"/>
      <c r="GL32" s="295"/>
      <c r="GM32" s="295"/>
      <c r="GN32" s="295"/>
      <c r="GO32" s="295"/>
      <c r="GP32" s="295"/>
      <c r="GQ32" s="295"/>
      <c r="GR32" s="295"/>
      <c r="GS32" s="295"/>
      <c r="GT32" s="295"/>
      <c r="GU32" s="295"/>
      <c r="GV32" s="295"/>
      <c r="GW32" s="295"/>
      <c r="GX32" s="295"/>
      <c r="GY32" s="295"/>
      <c r="GZ32" s="295"/>
      <c r="HA32" s="295"/>
      <c r="HB32" s="295"/>
      <c r="HC32" s="295"/>
      <c r="HD32" s="295"/>
      <c r="HE32" s="295"/>
      <c r="HF32" s="295"/>
      <c r="HG32" s="295"/>
      <c r="HH32" s="295"/>
      <c r="HI32" s="295"/>
      <c r="HJ32" s="295"/>
      <c r="HK32" s="295"/>
      <c r="HL32" s="295"/>
      <c r="HM32" s="295"/>
      <c r="HN32" s="295"/>
      <c r="HO32" s="295"/>
      <c r="HP32" s="295"/>
      <c r="HQ32" s="295"/>
      <c r="HR32" s="295"/>
      <c r="HS32" s="295"/>
      <c r="HT32" s="295"/>
      <c r="HU32" s="295"/>
      <c r="HV32" s="295"/>
      <c r="HW32" s="295"/>
      <c r="HX32" s="295"/>
      <c r="HY32" s="295"/>
      <c r="HZ32" s="295"/>
      <c r="IA32" s="295"/>
      <c r="IB32" s="295"/>
      <c r="IC32" s="295"/>
      <c r="ID32" s="295"/>
      <c r="IE32" s="295"/>
      <c r="IF32" s="295"/>
      <c r="IG32" s="295"/>
      <c r="IH32" s="295"/>
      <c r="II32" s="295"/>
      <c r="IJ32" s="295"/>
      <c r="IK32" s="295"/>
      <c r="IL32" s="295"/>
      <c r="IM32" s="295"/>
      <c r="IN32" s="295"/>
      <c r="IO32" s="295"/>
      <c r="IP32" s="295"/>
      <c r="IQ32" s="295"/>
      <c r="IR32" s="295"/>
      <c r="IS32" s="295"/>
      <c r="IT32" s="295"/>
      <c r="IU32" s="295"/>
      <c r="IV32" s="295"/>
      <c r="IW32" s="295"/>
      <c r="IX32" s="295"/>
      <c r="IY32" s="295"/>
      <c r="IZ32" s="295"/>
      <c r="JA32" s="295"/>
      <c r="JB32" s="295"/>
      <c r="JC32" s="295"/>
      <c r="JD32" s="295"/>
      <c r="JE32" s="295"/>
      <c r="JF32" s="295"/>
      <c r="JG32" s="295"/>
      <c r="JH32" s="295"/>
      <c r="JI32" s="295"/>
      <c r="JJ32" s="295"/>
      <c r="JK32" s="295"/>
      <c r="JL32" s="295"/>
      <c r="JM32" s="295"/>
      <c r="JN32" s="295"/>
      <c r="JO32" s="295"/>
      <c r="JP32" s="295"/>
      <c r="JQ32" s="295"/>
      <c r="JR32" s="295"/>
      <c r="JS32" s="295"/>
      <c r="JT32" s="295"/>
      <c r="JU32" s="295"/>
      <c r="JV32" s="295"/>
      <c r="JW32" s="295"/>
      <c r="JX32" s="295"/>
      <c r="JY32" s="295"/>
      <c r="JZ32" s="295"/>
      <c r="KA32" s="295"/>
      <c r="KB32" s="295"/>
      <c r="KC32" s="295"/>
      <c r="KD32" s="295"/>
      <c r="KE32" s="295"/>
      <c r="KF32" s="295"/>
      <c r="KG32" s="295"/>
      <c r="KH32" s="295"/>
      <c r="KI32" s="295"/>
      <c r="KJ32" s="295"/>
      <c r="KK32" s="295"/>
      <c r="KL32" s="295"/>
      <c r="KM32" s="295"/>
      <c r="KN32" s="295"/>
      <c r="KO32" s="295"/>
      <c r="KP32" s="295"/>
      <c r="KQ32" s="295"/>
      <c r="KR32" s="295"/>
      <c r="KS32" s="295"/>
      <c r="KT32" s="295"/>
      <c r="KU32" s="295"/>
      <c r="KV32" s="295"/>
      <c r="KW32" s="295"/>
      <c r="KX32" s="295"/>
      <c r="KY32" s="295"/>
      <c r="KZ32" s="295"/>
      <c r="LA32" s="295"/>
      <c r="LB32" s="295"/>
      <c r="LC32" s="295"/>
      <c r="LD32" s="295"/>
      <c r="LE32" s="295"/>
      <c r="LF32" s="295"/>
      <c r="LG32" s="295"/>
      <c r="LH32" s="295"/>
      <c r="LI32" s="295"/>
      <c r="LJ32" s="295"/>
      <c r="LK32" s="295"/>
      <c r="LL32" s="295"/>
      <c r="LM32" s="295"/>
      <c r="LN32" s="295"/>
      <c r="LO32" s="295"/>
      <c r="LP32" s="295"/>
      <c r="LQ32" s="295"/>
      <c r="LR32" s="295"/>
      <c r="LS32" s="295"/>
      <c r="LT32" s="295"/>
      <c r="LU32" s="295"/>
      <c r="LV32" s="295"/>
      <c r="LW32" s="295"/>
      <c r="LX32" s="295"/>
      <c r="LY32" s="295"/>
      <c r="LZ32" s="295"/>
      <c r="MA32" s="295"/>
      <c r="MB32" s="295"/>
      <c r="MC32" s="295"/>
      <c r="MD32" s="295"/>
      <c r="ME32" s="295"/>
      <c r="MF32" s="295"/>
      <c r="MG32" s="295"/>
      <c r="MH32" s="295"/>
      <c r="MI32" s="295"/>
      <c r="MJ32" s="295"/>
      <c r="MK32" s="295"/>
      <c r="ML32" s="295"/>
      <c r="MM32" s="295"/>
      <c r="MN32" s="295"/>
      <c r="MO32" s="295"/>
      <c r="MP32" s="295"/>
      <c r="MQ32" s="295"/>
      <c r="MR32" s="295"/>
      <c r="MS32" s="295"/>
      <c r="MT32" s="295"/>
      <c r="MU32" s="295"/>
      <c r="MV32" s="295"/>
      <c r="MW32" s="295"/>
      <c r="MX32" s="295"/>
      <c r="MY32" s="295"/>
      <c r="MZ32" s="295"/>
      <c r="NA32" s="295"/>
      <c r="NB32" s="295"/>
      <c r="NC32" s="295"/>
      <c r="ND32" s="295"/>
      <c r="NE32" s="295"/>
      <c r="NF32" s="295"/>
      <c r="NG32" s="295"/>
      <c r="NH32" s="295"/>
      <c r="NI32" s="295"/>
      <c r="NJ32" s="295"/>
      <c r="NK32" s="295"/>
      <c r="NL32" s="295"/>
      <c r="NM32" s="295"/>
      <c r="NN32" s="295"/>
      <c r="NO32" s="295"/>
      <c r="NP32" s="295"/>
      <c r="NQ32" s="295"/>
      <c r="NR32" s="295"/>
      <c r="NS32" s="295"/>
      <c r="NT32" s="295"/>
      <c r="NU32" s="295"/>
      <c r="NV32" s="295"/>
      <c r="NW32" s="295"/>
      <c r="NX32" s="295"/>
      <c r="NY32" s="295"/>
      <c r="NZ32" s="295"/>
      <c r="OA32" s="295"/>
      <c r="OB32" s="295"/>
      <c r="OC32" s="295"/>
      <c r="OD32" s="295"/>
      <c r="OE32" s="295"/>
      <c r="OF32" s="295"/>
      <c r="OG32" s="295"/>
      <c r="OH32" s="295"/>
      <c r="OI32" s="295"/>
      <c r="OJ32" s="295"/>
      <c r="OK32" s="295"/>
      <c r="OL32" s="295"/>
      <c r="OM32" s="295"/>
      <c r="ON32" s="295"/>
      <c r="OO32" s="295"/>
      <c r="OP32" s="295"/>
      <c r="OQ32" s="295"/>
      <c r="OR32" s="295"/>
      <c r="OS32" s="295"/>
      <c r="OT32" s="295"/>
      <c r="OU32" s="295"/>
      <c r="OV32" s="295"/>
      <c r="OW32" s="295"/>
      <c r="OX32" s="295"/>
      <c r="OY32" s="295"/>
      <c r="OZ32" s="295"/>
      <c r="PA32" s="295"/>
      <c r="PB32" s="295"/>
      <c r="PC32" s="295"/>
      <c r="PD32" s="295"/>
      <c r="PE32" s="295"/>
      <c r="PF32" s="295"/>
      <c r="PG32" s="295"/>
      <c r="PH32" s="295"/>
      <c r="PI32" s="295"/>
      <c r="PJ32" s="295"/>
      <c r="PK32" s="295"/>
      <c r="PL32" s="295"/>
      <c r="PM32" s="295"/>
      <c r="PN32" s="295"/>
      <c r="PO32" s="295"/>
      <c r="PP32" s="295"/>
      <c r="PQ32" s="295"/>
      <c r="PR32" s="295"/>
      <c r="PS32" s="295"/>
      <c r="PT32" s="295"/>
      <c r="PU32" s="295"/>
      <c r="PV32" s="295"/>
      <c r="PW32" s="295"/>
      <c r="PX32" s="295"/>
      <c r="PY32" s="295"/>
      <c r="PZ32" s="295"/>
      <c r="QA32" s="295"/>
      <c r="QB32" s="295"/>
      <c r="QC32" s="295"/>
      <c r="QD32" s="295"/>
      <c r="QE32" s="295"/>
      <c r="QF32" s="295"/>
      <c r="QG32" s="295"/>
      <c r="QH32" s="295"/>
      <c r="QI32" s="295"/>
      <c r="QJ32" s="295"/>
      <c r="QK32" s="295"/>
      <c r="QL32" s="295"/>
      <c r="QM32" s="295"/>
      <c r="QN32" s="295"/>
      <c r="QO32" s="295"/>
      <c r="QP32" s="295"/>
      <c r="QQ32" s="295"/>
      <c r="QR32" s="295"/>
      <c r="QS32" s="295"/>
      <c r="QT32" s="295"/>
      <c r="QU32" s="295"/>
      <c r="QV32" s="295"/>
      <c r="QW32" s="295"/>
      <c r="QX32" s="295"/>
      <c r="QY32" s="295"/>
      <c r="QZ32" s="295"/>
      <c r="RA32" s="295"/>
      <c r="RB32" s="295"/>
      <c r="RC32" s="295"/>
      <c r="RD32" s="295"/>
      <c r="RE32" s="295"/>
      <c r="RF32" s="295"/>
      <c r="RG32" s="295"/>
      <c r="RH32" s="295"/>
      <c r="RI32" s="295"/>
      <c r="RJ32" s="295"/>
      <c r="RK32" s="295"/>
      <c r="RL32" s="295"/>
      <c r="RM32" s="295"/>
      <c r="RN32" s="295"/>
      <c r="RO32" s="295"/>
      <c r="RP32" s="295"/>
      <c r="RQ32" s="295"/>
      <c r="RR32" s="295"/>
      <c r="RS32" s="295"/>
      <c r="RT32" s="295"/>
      <c r="RU32" s="295"/>
      <c r="RV32" s="295"/>
      <c r="RW32" s="295"/>
      <c r="RX32" s="295"/>
      <c r="RY32" s="295"/>
      <c r="RZ32" s="295"/>
      <c r="SA32" s="295"/>
      <c r="SB32" s="295"/>
      <c r="SC32" s="295"/>
      <c r="SD32" s="295"/>
      <c r="SE32" s="295"/>
      <c r="SF32" s="295"/>
      <c r="SG32" s="295"/>
      <c r="SH32" s="295"/>
      <c r="SI32" s="295"/>
      <c r="SJ32" s="295"/>
      <c r="SK32" s="295"/>
      <c r="SL32" s="295"/>
      <c r="SM32" s="295"/>
      <c r="SN32" s="295"/>
      <c r="SO32" s="295"/>
      <c r="SP32" s="295"/>
      <c r="SQ32" s="295"/>
      <c r="SR32" s="295"/>
      <c r="SS32" s="295"/>
      <c r="ST32" s="295"/>
      <c r="SU32" s="295"/>
      <c r="SV32" s="295"/>
      <c r="SW32" s="295"/>
      <c r="SX32" s="295"/>
      <c r="SY32" s="295"/>
      <c r="SZ32" s="295"/>
      <c r="TA32" s="295"/>
      <c r="TB32" s="295"/>
      <c r="TC32" s="295"/>
      <c r="TD32" s="295"/>
      <c r="TE32" s="295"/>
      <c r="TF32" s="295"/>
      <c r="TG32" s="295"/>
      <c r="TH32" s="295"/>
      <c r="TI32" s="295"/>
      <c r="TJ32" s="295"/>
      <c r="TK32" s="295"/>
      <c r="TL32" s="295"/>
      <c r="TM32" s="295"/>
      <c r="TN32" s="295"/>
      <c r="TO32" s="295"/>
      <c r="TP32" s="295"/>
      <c r="TQ32" s="295"/>
      <c r="TR32" s="295"/>
      <c r="TS32" s="295"/>
      <c r="TT32" s="295"/>
      <c r="TU32" s="295"/>
      <c r="TV32" s="295"/>
      <c r="TW32" s="295"/>
      <c r="TX32" s="295"/>
      <c r="TY32" s="295"/>
      <c r="TZ32" s="295"/>
      <c r="UA32" s="295"/>
      <c r="UB32" s="295"/>
      <c r="UC32" s="295"/>
      <c r="UD32" s="295"/>
      <c r="UE32" s="295"/>
      <c r="UF32" s="295"/>
      <c r="UG32" s="295"/>
      <c r="UH32" s="295"/>
      <c r="UI32" s="295"/>
      <c r="UJ32" s="295"/>
      <c r="UK32" s="295"/>
      <c r="UL32" s="295"/>
      <c r="UM32" s="295"/>
      <c r="UN32" s="295"/>
      <c r="UO32" s="295"/>
      <c r="UP32" s="295"/>
      <c r="UQ32" s="295"/>
      <c r="UR32" s="295"/>
      <c r="US32" s="295"/>
      <c r="UT32" s="295"/>
      <c r="UU32" s="295"/>
      <c r="UV32" s="295"/>
      <c r="UW32" s="295"/>
      <c r="UX32" s="295"/>
      <c r="UY32" s="295"/>
      <c r="UZ32" s="295"/>
      <c r="VA32" s="295"/>
      <c r="VB32" s="295"/>
      <c r="VC32" s="295"/>
      <c r="VD32" s="295"/>
      <c r="VE32" s="295"/>
      <c r="VF32" s="295"/>
      <c r="VG32" s="295"/>
      <c r="VH32" s="295"/>
      <c r="VI32" s="295"/>
      <c r="VJ32" s="295"/>
      <c r="VK32" s="295"/>
      <c r="VL32" s="295"/>
      <c r="VM32" s="295"/>
      <c r="VN32" s="295"/>
      <c r="VO32" s="295"/>
      <c r="VP32" s="295"/>
      <c r="VQ32" s="295"/>
      <c r="VR32" s="295"/>
      <c r="VS32" s="295"/>
      <c r="VT32" s="295"/>
      <c r="VU32" s="295"/>
      <c r="VV32" s="295"/>
      <c r="VW32" s="295"/>
      <c r="VX32" s="295"/>
      <c r="VY32" s="295"/>
      <c r="VZ32" s="295"/>
      <c r="WA32" s="295"/>
      <c r="WB32" s="295"/>
      <c r="WC32" s="295"/>
      <c r="WD32" s="295"/>
      <c r="WE32" s="295"/>
      <c r="WF32" s="295"/>
      <c r="WG32" s="295"/>
      <c r="WH32" s="295"/>
      <c r="WI32" s="295"/>
      <c r="WJ32" s="295"/>
      <c r="WK32" s="295"/>
      <c r="WL32" s="295"/>
      <c r="WM32" s="295"/>
      <c r="WN32" s="295"/>
      <c r="WO32" s="295"/>
      <c r="WP32" s="295"/>
      <c r="WQ32" s="295"/>
      <c r="WR32" s="295"/>
      <c r="WS32" s="295"/>
      <c r="WT32" s="295"/>
      <c r="WU32" s="295"/>
      <c r="WV32" s="295"/>
      <c r="WW32" s="295"/>
      <c r="WX32" s="295"/>
      <c r="WY32" s="295"/>
      <c r="WZ32" s="295"/>
      <c r="XA32" s="295"/>
      <c r="XB32" s="295"/>
      <c r="XC32" s="295"/>
      <c r="XD32" s="295"/>
      <c r="XE32" s="295"/>
      <c r="XF32" s="295"/>
      <c r="XG32" s="295"/>
      <c r="XH32" s="295"/>
      <c r="XI32" s="295"/>
      <c r="XJ32" s="295"/>
      <c r="XK32" s="295"/>
      <c r="XL32" s="295"/>
      <c r="XM32" s="295"/>
      <c r="XN32" s="295"/>
      <c r="XO32" s="295"/>
      <c r="XP32" s="295"/>
      <c r="XQ32" s="295"/>
      <c r="XR32" s="295"/>
      <c r="XS32" s="295"/>
      <c r="XT32" s="295"/>
      <c r="XU32" s="295"/>
      <c r="XV32" s="295"/>
      <c r="XW32" s="295"/>
      <c r="XX32" s="295"/>
      <c r="XY32" s="295"/>
      <c r="XZ32" s="295"/>
      <c r="YA32" s="295"/>
      <c r="YB32" s="295"/>
      <c r="YC32" s="295"/>
      <c r="YD32" s="295"/>
      <c r="YE32" s="295"/>
      <c r="YF32" s="295"/>
      <c r="YG32" s="295"/>
      <c r="YH32" s="295"/>
      <c r="YI32" s="295"/>
      <c r="YJ32" s="295"/>
      <c r="YK32" s="295"/>
      <c r="YL32" s="295"/>
      <c r="YM32" s="295"/>
      <c r="YN32" s="295"/>
      <c r="YO32" s="295"/>
      <c r="YP32" s="295"/>
      <c r="YQ32" s="295"/>
      <c r="YR32" s="295"/>
      <c r="YS32" s="295"/>
      <c r="YT32" s="295"/>
      <c r="YU32" s="295"/>
      <c r="YV32" s="295"/>
      <c r="YW32" s="295"/>
      <c r="YX32" s="295"/>
      <c r="YY32" s="295"/>
      <c r="YZ32" s="295"/>
      <c r="ZA32" s="295"/>
      <c r="ZB32" s="295"/>
      <c r="ZC32" s="295"/>
      <c r="ZD32" s="295"/>
      <c r="ZE32" s="295"/>
      <c r="ZF32" s="295"/>
      <c r="ZG32" s="295"/>
      <c r="ZH32" s="295"/>
      <c r="ZI32" s="295"/>
      <c r="ZJ32" s="295"/>
      <c r="ZK32" s="295"/>
      <c r="ZL32" s="295"/>
      <c r="ZM32" s="295"/>
      <c r="ZN32" s="295"/>
      <c r="ZO32" s="295"/>
      <c r="ZP32" s="295"/>
      <c r="ZQ32" s="295"/>
      <c r="ZR32" s="295"/>
      <c r="ZS32" s="295"/>
      <c r="ZT32" s="295"/>
      <c r="ZU32" s="295"/>
      <c r="ZV32" s="295"/>
      <c r="ZW32" s="295"/>
      <c r="ZX32" s="295"/>
      <c r="ZY32" s="295"/>
      <c r="ZZ32" s="295"/>
      <c r="AAA32" s="295"/>
      <c r="AAB32" s="295"/>
      <c r="AAC32" s="295"/>
      <c r="AAD32" s="295"/>
      <c r="AAE32" s="295"/>
      <c r="AAF32" s="295"/>
      <c r="AAG32" s="295"/>
      <c r="AAH32" s="295"/>
      <c r="AAI32" s="295"/>
      <c r="AAJ32" s="295"/>
      <c r="AAK32" s="295"/>
      <c r="AAL32" s="295"/>
      <c r="AAM32" s="295"/>
      <c r="AAN32" s="295"/>
      <c r="AAO32" s="295"/>
      <c r="AAP32" s="295"/>
      <c r="AAQ32" s="295"/>
      <c r="AAR32" s="295"/>
      <c r="AAS32" s="295"/>
      <c r="AAT32" s="295"/>
      <c r="AAU32" s="295"/>
      <c r="AAV32" s="295"/>
      <c r="AAW32" s="295"/>
      <c r="AAX32" s="295"/>
      <c r="AAY32" s="295"/>
      <c r="AAZ32" s="295"/>
      <c r="ABA32" s="295"/>
      <c r="ABB32" s="295"/>
      <c r="ABC32" s="295"/>
      <c r="ABD32" s="295"/>
      <c r="ABE32" s="295"/>
      <c r="ABF32" s="295"/>
      <c r="ABG32" s="295"/>
      <c r="ABH32" s="295"/>
      <c r="ABI32" s="295"/>
      <c r="ABJ32" s="295"/>
      <c r="ABK32" s="295"/>
      <c r="ABL32" s="295"/>
      <c r="ABM32" s="295"/>
      <c r="ABN32" s="295"/>
      <c r="ABO32" s="295"/>
      <c r="ABP32" s="295"/>
      <c r="ABQ32" s="295"/>
      <c r="ABR32" s="295"/>
      <c r="ABS32" s="295"/>
      <c r="ABT32" s="295"/>
      <c r="ABU32" s="295"/>
      <c r="ABV32" s="295"/>
      <c r="ABW32" s="295"/>
      <c r="ABX32" s="295"/>
      <c r="ABY32" s="295"/>
      <c r="ABZ32" s="295"/>
      <c r="ACA32" s="295"/>
      <c r="ACB32" s="295"/>
      <c r="ACC32" s="295"/>
      <c r="ACD32" s="295"/>
      <c r="ACE32" s="295"/>
      <c r="ACF32" s="295"/>
      <c r="ACG32" s="295"/>
      <c r="ACH32" s="295"/>
      <c r="ACI32" s="295"/>
      <c r="ACJ32" s="295"/>
      <c r="ACK32" s="295"/>
      <c r="ACL32" s="295"/>
      <c r="ACM32" s="295"/>
      <c r="ACN32" s="295"/>
      <c r="ACO32" s="295"/>
      <c r="ACP32" s="295"/>
      <c r="ACQ32" s="295"/>
      <c r="ACR32" s="295"/>
      <c r="ACS32" s="295"/>
      <c r="ACT32" s="295"/>
      <c r="ACU32" s="295"/>
      <c r="ACV32" s="295"/>
      <c r="ACW32" s="295"/>
      <c r="ACX32" s="295"/>
      <c r="ACY32" s="295"/>
      <c r="ACZ32" s="295"/>
      <c r="ADA32" s="295"/>
      <c r="ADB32" s="295"/>
      <c r="ADC32" s="295"/>
      <c r="ADD32" s="295"/>
      <c r="ADE32" s="295"/>
      <c r="ADF32" s="295"/>
      <c r="ADG32" s="295"/>
      <c r="ADH32" s="295"/>
      <c r="ADI32" s="295"/>
      <c r="ADJ32" s="295"/>
      <c r="ADK32" s="295"/>
      <c r="ADL32" s="295"/>
      <c r="ADM32" s="295"/>
      <c r="ADN32" s="295"/>
      <c r="ADO32" s="295"/>
      <c r="ADP32" s="295"/>
      <c r="ADQ32" s="295"/>
      <c r="ADR32" s="295"/>
      <c r="ADS32" s="295"/>
      <c r="ADT32" s="295"/>
      <c r="ADU32" s="295"/>
      <c r="ADV32" s="295"/>
      <c r="ADW32" s="295"/>
      <c r="ADX32" s="295"/>
      <c r="ADY32" s="295"/>
      <c r="ADZ32" s="295"/>
      <c r="AEA32" s="295"/>
      <c r="AEB32" s="295"/>
      <c r="AEC32" s="295"/>
      <c r="AED32" s="295"/>
      <c r="AEE32" s="295"/>
      <c r="AEF32" s="295"/>
      <c r="AEG32" s="295"/>
      <c r="AEH32" s="295"/>
      <c r="AEI32" s="295"/>
      <c r="AEJ32" s="295"/>
      <c r="AEK32" s="295"/>
      <c r="AEL32" s="295"/>
      <c r="AEM32" s="295"/>
      <c r="AEN32" s="295"/>
      <c r="AEO32" s="295"/>
      <c r="AEP32" s="295"/>
      <c r="AEQ32" s="295"/>
      <c r="AER32" s="295"/>
      <c r="AES32" s="295"/>
      <c r="AET32" s="295"/>
      <c r="AEU32" s="295"/>
      <c r="AEV32" s="295"/>
      <c r="AEW32" s="295"/>
      <c r="AEX32" s="295"/>
      <c r="AEY32" s="295"/>
      <c r="AEZ32" s="295"/>
      <c r="AFA32" s="295"/>
      <c r="AFB32" s="295"/>
      <c r="AFC32" s="295"/>
      <c r="AFD32" s="295"/>
      <c r="AFE32" s="295"/>
      <c r="AFF32" s="295"/>
      <c r="AFG32" s="295"/>
      <c r="AFH32" s="295"/>
      <c r="AFI32" s="295"/>
      <c r="AFJ32" s="295"/>
      <c r="AFK32" s="295"/>
      <c r="AFL32" s="295"/>
      <c r="AFM32" s="295"/>
      <c r="AFN32" s="295"/>
      <c r="AFO32" s="295"/>
      <c r="AFP32" s="295"/>
      <c r="AFQ32" s="295"/>
      <c r="AFR32" s="295"/>
      <c r="AFS32" s="295"/>
      <c r="AFT32" s="295"/>
      <c r="AFU32" s="295"/>
      <c r="AFV32" s="295"/>
      <c r="AFW32" s="295"/>
      <c r="AFX32" s="295"/>
      <c r="AFY32" s="295"/>
      <c r="AFZ32" s="295"/>
      <c r="AGA32" s="295"/>
      <c r="AGB32" s="295"/>
      <c r="AGC32" s="295"/>
      <c r="AGD32" s="295"/>
      <c r="AGE32" s="295"/>
      <c r="AGF32" s="295"/>
      <c r="AGG32" s="295"/>
      <c r="AGH32" s="295"/>
      <c r="AGI32" s="295"/>
      <c r="AGJ32" s="295"/>
      <c r="AGK32" s="295"/>
      <c r="AGL32" s="295"/>
      <c r="AGM32" s="295"/>
      <c r="AGN32" s="295"/>
      <c r="AGO32" s="295"/>
      <c r="AGP32" s="295"/>
      <c r="AGQ32" s="295"/>
      <c r="AGR32" s="295"/>
      <c r="AGS32" s="295"/>
      <c r="AGT32" s="295"/>
      <c r="AGU32" s="295"/>
      <c r="AGV32" s="295"/>
      <c r="AGW32" s="295"/>
      <c r="AGX32" s="295"/>
      <c r="AGY32" s="295"/>
      <c r="AGZ32" s="295"/>
      <c r="AHA32" s="295"/>
      <c r="AHB32" s="295"/>
      <c r="AHC32" s="295"/>
      <c r="AHD32" s="295"/>
      <c r="AHE32" s="295"/>
      <c r="AHF32" s="295"/>
      <c r="AHG32" s="295"/>
      <c r="AHH32" s="295"/>
      <c r="AHI32" s="295"/>
      <c r="AHJ32" s="295"/>
      <c r="AHK32" s="295"/>
      <c r="AHL32" s="295"/>
      <c r="AHM32" s="295"/>
      <c r="AHN32" s="295"/>
      <c r="AHO32" s="295"/>
      <c r="AHP32" s="295"/>
      <c r="AHQ32" s="295"/>
      <c r="AHR32" s="295"/>
      <c r="AHS32" s="295"/>
      <c r="AHT32" s="295"/>
      <c r="AHU32" s="295"/>
      <c r="AHV32" s="295"/>
      <c r="AHW32" s="295"/>
      <c r="AHX32" s="295"/>
      <c r="AHY32" s="295"/>
      <c r="AHZ32" s="295"/>
      <c r="AIA32" s="295"/>
      <c r="AIB32" s="295"/>
      <c r="AIC32" s="295"/>
      <c r="AID32" s="295"/>
      <c r="AIE32" s="295"/>
      <c r="AIF32" s="295"/>
      <c r="AIG32" s="295"/>
      <c r="AIH32" s="295"/>
      <c r="AII32" s="295"/>
      <c r="AIJ32" s="295"/>
      <c r="AIK32" s="295"/>
      <c r="AIL32" s="295"/>
      <c r="AIM32" s="295"/>
      <c r="AIN32" s="295"/>
      <c r="AIO32" s="295"/>
      <c r="AIP32" s="295"/>
      <c r="AIQ32" s="295"/>
      <c r="AIR32" s="295"/>
      <c r="AIS32" s="295"/>
      <c r="AIT32" s="295"/>
      <c r="AIU32" s="295"/>
      <c r="AIV32" s="295"/>
      <c r="AIW32" s="295"/>
      <c r="AIX32" s="295"/>
      <c r="AIY32" s="295"/>
      <c r="AIZ32" s="295"/>
      <c r="AJA32" s="295"/>
      <c r="AJB32" s="295"/>
      <c r="AJC32" s="295"/>
      <c r="AJD32" s="295"/>
      <c r="AJE32" s="295"/>
      <c r="AJF32" s="295"/>
      <c r="AJG32" s="295"/>
      <c r="AJH32" s="295"/>
      <c r="AJI32" s="295"/>
      <c r="AJJ32" s="295"/>
      <c r="AJK32" s="295"/>
      <c r="AJL32" s="295"/>
      <c r="AJM32" s="295"/>
      <c r="AJN32" s="295"/>
      <c r="AJO32" s="295"/>
      <c r="AJP32" s="295"/>
      <c r="AJQ32" s="295"/>
      <c r="AJR32" s="295"/>
      <c r="AJS32" s="295"/>
      <c r="AJT32" s="295"/>
      <c r="AJU32" s="295"/>
      <c r="AJV32" s="295"/>
      <c r="AJW32" s="295"/>
      <c r="AJX32" s="295"/>
      <c r="AJY32" s="295"/>
      <c r="AJZ32" s="295"/>
      <c r="AKA32" s="295"/>
      <c r="AKB32" s="295"/>
      <c r="AKC32" s="295"/>
      <c r="AKD32" s="295"/>
      <c r="AKE32" s="295"/>
      <c r="AKF32" s="295"/>
      <c r="AKG32" s="295"/>
      <c r="AKH32" s="295"/>
      <c r="AKI32" s="295"/>
      <c r="AKJ32" s="295"/>
      <c r="AKK32" s="295"/>
      <c r="AKL32" s="295"/>
      <c r="AKM32" s="295"/>
      <c r="AKN32" s="295"/>
      <c r="AKO32" s="295"/>
      <c r="AKP32" s="295"/>
      <c r="AKQ32" s="295"/>
      <c r="AKR32" s="295"/>
      <c r="AKS32" s="295"/>
      <c r="AKT32" s="295"/>
      <c r="AKU32" s="295"/>
      <c r="AKV32" s="295"/>
      <c r="AKW32" s="295"/>
      <c r="AKX32" s="295"/>
      <c r="AKY32" s="295"/>
      <c r="AKZ32" s="295"/>
      <c r="ALA32" s="295"/>
      <c r="ALB32" s="295"/>
      <c r="ALC32" s="295"/>
      <c r="ALD32" s="295"/>
      <c r="ALE32" s="295"/>
      <c r="ALF32" s="295"/>
      <c r="ALG32" s="295"/>
      <c r="ALH32" s="295"/>
      <c r="ALI32" s="295"/>
      <c r="ALJ32" s="295"/>
      <c r="ALK32" s="295"/>
      <c r="ALL32" s="313"/>
    </row>
    <row r="33" s="291" customFormat="1" ht="33.75" customHeight="1">
      <c r="C33" t="s" s="310">
        <v>367</v>
      </c>
      <c r="D33" s="213"/>
      <c r="E33" s="211"/>
      <c r="F33" t="s" s="310">
        <v>368</v>
      </c>
      <c r="G33" s="213"/>
      <c r="H33" s="211"/>
      <c r="I33" t="s" s="309">
        <v>369</v>
      </c>
      <c r="J33" s="307"/>
      <c r="K33" s="307"/>
      <c r="L33" s="307"/>
      <c r="M33" s="307"/>
      <c r="N33" s="307"/>
      <c r="O33" s="307"/>
      <c r="P33" s="307"/>
      <c r="Q33" s="307"/>
      <c r="R33" s="308"/>
      <c r="S33" t="s" s="310">
        <f>IF(AND(AND($S$20&gt;=70,$S$20&lt;90),$S$22="nein"),$F$33,"")</f>
      </c>
      <c r="T33" s="213"/>
      <c r="U33" s="211"/>
      <c r="V33" s="312"/>
      <c r="W33" s="295"/>
      <c r="X33" s="295"/>
      <c r="Y33" s="295"/>
      <c r="Z33" s="295"/>
      <c r="AA33" s="295"/>
      <c r="AB33" s="295"/>
      <c r="AC33" s="295"/>
      <c r="AD33" s="295"/>
      <c r="AE33" s="295"/>
      <c r="AF33" s="295"/>
      <c r="AG33" s="295"/>
      <c r="AH33" s="295"/>
      <c r="AI33" s="295"/>
      <c r="AJ33" s="295"/>
      <c r="AK33" s="295"/>
      <c r="AL33" s="295"/>
      <c r="AM33" s="295"/>
      <c r="AN33" s="295"/>
      <c r="AO33" s="295"/>
      <c r="AP33" s="295"/>
      <c r="AQ33" s="295"/>
      <c r="AR33" s="295"/>
      <c r="AS33" s="295"/>
      <c r="AT33" s="295"/>
      <c r="AU33" s="295"/>
      <c r="AV33" s="295"/>
      <c r="AW33" s="295"/>
      <c r="AX33" s="295"/>
      <c r="AY33" s="295"/>
      <c r="AZ33" s="295"/>
      <c r="BA33" s="295"/>
      <c r="BB33" s="295"/>
      <c r="BC33" s="295"/>
      <c r="BD33" s="295"/>
      <c r="BE33" s="295"/>
      <c r="BF33" s="295"/>
      <c r="BG33" s="295"/>
      <c r="BH33" s="295"/>
      <c r="BI33" s="295"/>
      <c r="BJ33" s="295"/>
      <c r="BK33" s="295"/>
      <c r="BL33" s="295"/>
      <c r="BM33" s="295"/>
      <c r="BN33" s="295"/>
      <c r="BO33" s="295"/>
      <c r="BP33" s="295"/>
      <c r="BQ33" s="295"/>
      <c r="BR33" s="295"/>
      <c r="BS33" s="295"/>
      <c r="BT33" s="295"/>
      <c r="BU33" s="295"/>
      <c r="BV33" s="295"/>
      <c r="BW33" s="295"/>
      <c r="BX33" s="295"/>
      <c r="BY33" s="295"/>
      <c r="BZ33" s="295"/>
      <c r="CA33" s="295"/>
      <c r="CB33" s="295"/>
      <c r="CC33" s="295"/>
      <c r="CD33" s="295"/>
      <c r="CE33" s="295"/>
      <c r="CF33" s="295"/>
      <c r="CG33" s="295"/>
      <c r="CH33" s="295"/>
      <c r="CI33" s="295"/>
      <c r="CJ33" s="295"/>
      <c r="CK33" s="295"/>
      <c r="CL33" s="295"/>
      <c r="CM33" s="295"/>
      <c r="CN33" s="295"/>
      <c r="CO33" s="295"/>
      <c r="CP33" s="295"/>
      <c r="CQ33" s="295"/>
      <c r="CR33" s="295"/>
      <c r="CS33" s="295"/>
      <c r="CT33" s="295"/>
      <c r="CU33" s="295"/>
      <c r="CV33" s="295"/>
      <c r="CW33" s="295"/>
      <c r="CX33" s="295"/>
      <c r="CY33" s="295"/>
      <c r="CZ33" s="295"/>
      <c r="DA33" s="295"/>
      <c r="DB33" s="295"/>
      <c r="DC33" s="295"/>
      <c r="DD33" s="295"/>
      <c r="DE33" s="295"/>
      <c r="DF33" s="295"/>
      <c r="DG33" s="295"/>
      <c r="DH33" s="295"/>
      <c r="DI33" s="295"/>
      <c r="DJ33" s="295"/>
      <c r="DK33" s="295"/>
      <c r="DL33" s="295"/>
      <c r="DM33" s="295"/>
      <c r="DN33" s="295"/>
      <c r="DO33" s="295"/>
      <c r="DP33" s="295"/>
      <c r="DQ33" s="295"/>
      <c r="DR33" s="295"/>
      <c r="DS33" s="295"/>
      <c r="DT33" s="295"/>
      <c r="DU33" s="295"/>
      <c r="DV33" s="295"/>
      <c r="DW33" s="295"/>
      <c r="DX33" s="295"/>
      <c r="DY33" s="295"/>
      <c r="DZ33" s="295"/>
      <c r="EA33" s="295"/>
      <c r="EB33" s="295"/>
      <c r="EC33" s="295"/>
      <c r="ED33" s="295"/>
      <c r="EE33" s="295"/>
      <c r="EF33" s="295"/>
      <c r="EG33" s="295"/>
      <c r="EH33" s="295"/>
      <c r="EI33" s="295"/>
      <c r="EJ33" s="295"/>
      <c r="EK33" s="295"/>
      <c r="EL33" s="295"/>
      <c r="EM33" s="295"/>
      <c r="EN33" s="295"/>
      <c r="EO33" s="295"/>
      <c r="EP33" s="295"/>
      <c r="EQ33" s="295"/>
      <c r="ER33" s="295"/>
      <c r="ES33" s="295"/>
      <c r="ET33" s="295"/>
      <c r="EU33" s="295"/>
      <c r="EV33" s="295"/>
      <c r="EW33" s="295"/>
      <c r="EX33" s="295"/>
      <c r="EY33" s="295"/>
      <c r="EZ33" s="295"/>
      <c r="FA33" s="295"/>
      <c r="FB33" s="295"/>
      <c r="FC33" s="295"/>
      <c r="FD33" s="295"/>
      <c r="FE33" s="295"/>
      <c r="FF33" s="295"/>
      <c r="FG33" s="295"/>
      <c r="FH33" s="295"/>
      <c r="FI33" s="295"/>
      <c r="FJ33" s="295"/>
      <c r="FK33" s="295"/>
      <c r="FL33" s="295"/>
      <c r="FM33" s="295"/>
      <c r="FN33" s="295"/>
      <c r="FO33" s="295"/>
      <c r="FP33" s="295"/>
      <c r="FQ33" s="295"/>
      <c r="FR33" s="295"/>
      <c r="FS33" s="295"/>
      <c r="FT33" s="295"/>
      <c r="FU33" s="295"/>
      <c r="FV33" s="295"/>
      <c r="FW33" s="295"/>
      <c r="FX33" s="295"/>
      <c r="FY33" s="295"/>
      <c r="FZ33" s="295"/>
      <c r="GA33" s="295"/>
      <c r="GB33" s="295"/>
      <c r="GC33" s="295"/>
      <c r="GD33" s="295"/>
      <c r="GE33" s="295"/>
      <c r="GF33" s="295"/>
      <c r="GG33" s="295"/>
      <c r="GH33" s="295"/>
      <c r="GI33" s="295"/>
      <c r="GJ33" s="295"/>
      <c r="GK33" s="295"/>
      <c r="GL33" s="295"/>
      <c r="GM33" s="295"/>
      <c r="GN33" s="295"/>
      <c r="GO33" s="295"/>
      <c r="GP33" s="295"/>
      <c r="GQ33" s="295"/>
      <c r="GR33" s="295"/>
      <c r="GS33" s="295"/>
      <c r="GT33" s="295"/>
      <c r="GU33" s="295"/>
      <c r="GV33" s="295"/>
      <c r="GW33" s="295"/>
      <c r="GX33" s="295"/>
      <c r="GY33" s="295"/>
      <c r="GZ33" s="295"/>
      <c r="HA33" s="295"/>
      <c r="HB33" s="295"/>
      <c r="HC33" s="295"/>
      <c r="HD33" s="295"/>
      <c r="HE33" s="295"/>
      <c r="HF33" s="295"/>
      <c r="HG33" s="295"/>
      <c r="HH33" s="295"/>
      <c r="HI33" s="295"/>
      <c r="HJ33" s="295"/>
      <c r="HK33" s="295"/>
      <c r="HL33" s="295"/>
      <c r="HM33" s="295"/>
      <c r="HN33" s="295"/>
      <c r="HO33" s="295"/>
      <c r="HP33" s="295"/>
      <c r="HQ33" s="295"/>
      <c r="HR33" s="295"/>
      <c r="HS33" s="295"/>
      <c r="HT33" s="295"/>
      <c r="HU33" s="295"/>
      <c r="HV33" s="295"/>
      <c r="HW33" s="295"/>
      <c r="HX33" s="295"/>
      <c r="HY33" s="295"/>
      <c r="HZ33" s="295"/>
      <c r="IA33" s="295"/>
      <c r="IB33" s="295"/>
      <c r="IC33" s="295"/>
      <c r="ID33" s="295"/>
      <c r="IE33" s="295"/>
      <c r="IF33" s="295"/>
      <c r="IG33" s="295"/>
      <c r="IH33" s="295"/>
      <c r="II33" s="295"/>
      <c r="IJ33" s="295"/>
      <c r="IK33" s="295"/>
      <c r="IL33" s="295"/>
      <c r="IM33" s="295"/>
      <c r="IN33" s="295"/>
      <c r="IO33" s="295"/>
      <c r="IP33" s="295"/>
      <c r="IQ33" s="295"/>
      <c r="IR33" s="295"/>
      <c r="IS33" s="295"/>
      <c r="IT33" s="295"/>
      <c r="IU33" s="295"/>
      <c r="IV33" s="295"/>
      <c r="IW33" s="295"/>
      <c r="IX33" s="295"/>
      <c r="IY33" s="295"/>
      <c r="IZ33" s="295"/>
      <c r="JA33" s="295"/>
      <c r="JB33" s="295"/>
      <c r="JC33" s="295"/>
      <c r="JD33" s="295"/>
      <c r="JE33" s="295"/>
      <c r="JF33" s="295"/>
      <c r="JG33" s="295"/>
      <c r="JH33" s="295"/>
      <c r="JI33" s="295"/>
      <c r="JJ33" s="295"/>
      <c r="JK33" s="295"/>
      <c r="JL33" s="295"/>
      <c r="JM33" s="295"/>
      <c r="JN33" s="295"/>
      <c r="JO33" s="295"/>
      <c r="JP33" s="295"/>
      <c r="JQ33" s="295"/>
      <c r="JR33" s="295"/>
      <c r="JS33" s="295"/>
      <c r="JT33" s="295"/>
      <c r="JU33" s="295"/>
      <c r="JV33" s="295"/>
      <c r="JW33" s="295"/>
      <c r="JX33" s="295"/>
      <c r="JY33" s="295"/>
      <c r="JZ33" s="295"/>
      <c r="KA33" s="295"/>
      <c r="KB33" s="295"/>
      <c r="KC33" s="295"/>
      <c r="KD33" s="295"/>
      <c r="KE33" s="295"/>
      <c r="KF33" s="295"/>
      <c r="KG33" s="295"/>
      <c r="KH33" s="295"/>
      <c r="KI33" s="295"/>
      <c r="KJ33" s="295"/>
      <c r="KK33" s="295"/>
      <c r="KL33" s="295"/>
      <c r="KM33" s="295"/>
      <c r="KN33" s="295"/>
      <c r="KO33" s="295"/>
      <c r="KP33" s="295"/>
      <c r="KQ33" s="295"/>
      <c r="KR33" s="295"/>
      <c r="KS33" s="295"/>
      <c r="KT33" s="295"/>
      <c r="KU33" s="295"/>
      <c r="KV33" s="295"/>
      <c r="KW33" s="295"/>
      <c r="KX33" s="295"/>
      <c r="KY33" s="295"/>
      <c r="KZ33" s="295"/>
      <c r="LA33" s="295"/>
      <c r="LB33" s="295"/>
      <c r="LC33" s="295"/>
      <c r="LD33" s="295"/>
      <c r="LE33" s="295"/>
      <c r="LF33" s="295"/>
      <c r="LG33" s="295"/>
      <c r="LH33" s="295"/>
      <c r="LI33" s="295"/>
      <c r="LJ33" s="295"/>
      <c r="LK33" s="295"/>
      <c r="LL33" s="295"/>
      <c r="LM33" s="295"/>
      <c r="LN33" s="295"/>
      <c r="LO33" s="295"/>
      <c r="LP33" s="295"/>
      <c r="LQ33" s="295"/>
      <c r="LR33" s="295"/>
      <c r="LS33" s="295"/>
      <c r="LT33" s="295"/>
      <c r="LU33" s="295"/>
      <c r="LV33" s="295"/>
      <c r="LW33" s="295"/>
      <c r="LX33" s="295"/>
      <c r="LY33" s="295"/>
      <c r="LZ33" s="295"/>
      <c r="MA33" s="295"/>
      <c r="MB33" s="295"/>
      <c r="MC33" s="295"/>
      <c r="MD33" s="295"/>
      <c r="ME33" s="295"/>
      <c r="MF33" s="295"/>
      <c r="MG33" s="295"/>
      <c r="MH33" s="295"/>
      <c r="MI33" s="295"/>
      <c r="MJ33" s="295"/>
      <c r="MK33" s="295"/>
      <c r="ML33" s="295"/>
      <c r="MM33" s="295"/>
      <c r="MN33" s="295"/>
      <c r="MO33" s="295"/>
      <c r="MP33" s="295"/>
      <c r="MQ33" s="295"/>
      <c r="MR33" s="295"/>
      <c r="MS33" s="295"/>
      <c r="MT33" s="295"/>
      <c r="MU33" s="295"/>
      <c r="MV33" s="295"/>
      <c r="MW33" s="295"/>
      <c r="MX33" s="295"/>
      <c r="MY33" s="295"/>
      <c r="MZ33" s="295"/>
      <c r="NA33" s="295"/>
      <c r="NB33" s="295"/>
      <c r="NC33" s="295"/>
      <c r="ND33" s="295"/>
      <c r="NE33" s="295"/>
      <c r="NF33" s="295"/>
      <c r="NG33" s="295"/>
      <c r="NH33" s="295"/>
      <c r="NI33" s="295"/>
      <c r="NJ33" s="295"/>
      <c r="NK33" s="295"/>
      <c r="NL33" s="295"/>
      <c r="NM33" s="295"/>
      <c r="NN33" s="295"/>
      <c r="NO33" s="295"/>
      <c r="NP33" s="295"/>
      <c r="NQ33" s="295"/>
      <c r="NR33" s="295"/>
      <c r="NS33" s="295"/>
      <c r="NT33" s="295"/>
      <c r="NU33" s="295"/>
      <c r="NV33" s="295"/>
      <c r="NW33" s="295"/>
      <c r="NX33" s="295"/>
      <c r="NY33" s="295"/>
      <c r="NZ33" s="295"/>
      <c r="OA33" s="295"/>
      <c r="OB33" s="295"/>
      <c r="OC33" s="295"/>
      <c r="OD33" s="295"/>
      <c r="OE33" s="295"/>
      <c r="OF33" s="295"/>
      <c r="OG33" s="295"/>
      <c r="OH33" s="295"/>
      <c r="OI33" s="295"/>
      <c r="OJ33" s="295"/>
      <c r="OK33" s="295"/>
      <c r="OL33" s="295"/>
      <c r="OM33" s="295"/>
      <c r="ON33" s="295"/>
      <c r="OO33" s="295"/>
      <c r="OP33" s="295"/>
      <c r="OQ33" s="295"/>
      <c r="OR33" s="295"/>
      <c r="OS33" s="295"/>
      <c r="OT33" s="295"/>
      <c r="OU33" s="295"/>
      <c r="OV33" s="295"/>
      <c r="OW33" s="295"/>
      <c r="OX33" s="295"/>
      <c r="OY33" s="295"/>
      <c r="OZ33" s="295"/>
      <c r="PA33" s="295"/>
      <c r="PB33" s="295"/>
      <c r="PC33" s="295"/>
      <c r="PD33" s="295"/>
      <c r="PE33" s="295"/>
      <c r="PF33" s="295"/>
      <c r="PG33" s="295"/>
      <c r="PH33" s="295"/>
      <c r="PI33" s="295"/>
      <c r="PJ33" s="295"/>
      <c r="PK33" s="295"/>
      <c r="PL33" s="295"/>
      <c r="PM33" s="295"/>
      <c r="PN33" s="295"/>
      <c r="PO33" s="295"/>
      <c r="PP33" s="295"/>
      <c r="PQ33" s="295"/>
      <c r="PR33" s="295"/>
      <c r="PS33" s="295"/>
      <c r="PT33" s="295"/>
      <c r="PU33" s="295"/>
      <c r="PV33" s="295"/>
      <c r="PW33" s="295"/>
      <c r="PX33" s="295"/>
      <c r="PY33" s="295"/>
      <c r="PZ33" s="295"/>
      <c r="QA33" s="295"/>
      <c r="QB33" s="295"/>
      <c r="QC33" s="295"/>
      <c r="QD33" s="295"/>
      <c r="QE33" s="295"/>
      <c r="QF33" s="295"/>
      <c r="QG33" s="295"/>
      <c r="QH33" s="295"/>
      <c r="QI33" s="295"/>
      <c r="QJ33" s="295"/>
      <c r="QK33" s="295"/>
      <c r="QL33" s="295"/>
      <c r="QM33" s="295"/>
      <c r="QN33" s="295"/>
      <c r="QO33" s="295"/>
      <c r="QP33" s="295"/>
      <c r="QQ33" s="295"/>
      <c r="QR33" s="295"/>
      <c r="QS33" s="295"/>
      <c r="QT33" s="295"/>
      <c r="QU33" s="295"/>
      <c r="QV33" s="295"/>
      <c r="QW33" s="295"/>
      <c r="QX33" s="295"/>
      <c r="QY33" s="295"/>
      <c r="QZ33" s="295"/>
      <c r="RA33" s="295"/>
      <c r="RB33" s="295"/>
      <c r="RC33" s="295"/>
      <c r="RD33" s="295"/>
      <c r="RE33" s="295"/>
      <c r="RF33" s="295"/>
      <c r="RG33" s="295"/>
      <c r="RH33" s="295"/>
      <c r="RI33" s="295"/>
      <c r="RJ33" s="295"/>
      <c r="RK33" s="295"/>
      <c r="RL33" s="295"/>
      <c r="RM33" s="295"/>
      <c r="RN33" s="295"/>
      <c r="RO33" s="295"/>
      <c r="RP33" s="295"/>
      <c r="RQ33" s="295"/>
      <c r="RR33" s="295"/>
      <c r="RS33" s="295"/>
      <c r="RT33" s="295"/>
      <c r="RU33" s="295"/>
      <c r="RV33" s="295"/>
      <c r="RW33" s="295"/>
      <c r="RX33" s="295"/>
      <c r="RY33" s="295"/>
      <c r="RZ33" s="295"/>
      <c r="SA33" s="295"/>
      <c r="SB33" s="295"/>
      <c r="SC33" s="295"/>
      <c r="SD33" s="295"/>
      <c r="SE33" s="295"/>
      <c r="SF33" s="295"/>
      <c r="SG33" s="295"/>
      <c r="SH33" s="295"/>
      <c r="SI33" s="295"/>
      <c r="SJ33" s="295"/>
      <c r="SK33" s="295"/>
      <c r="SL33" s="295"/>
      <c r="SM33" s="295"/>
      <c r="SN33" s="295"/>
      <c r="SO33" s="295"/>
      <c r="SP33" s="295"/>
      <c r="SQ33" s="295"/>
      <c r="SR33" s="295"/>
      <c r="SS33" s="295"/>
      <c r="ST33" s="295"/>
      <c r="SU33" s="295"/>
      <c r="SV33" s="295"/>
      <c r="SW33" s="295"/>
      <c r="SX33" s="295"/>
      <c r="SY33" s="295"/>
      <c r="SZ33" s="295"/>
      <c r="TA33" s="295"/>
      <c r="TB33" s="295"/>
      <c r="TC33" s="295"/>
      <c r="TD33" s="295"/>
      <c r="TE33" s="295"/>
      <c r="TF33" s="295"/>
      <c r="TG33" s="295"/>
      <c r="TH33" s="295"/>
      <c r="TI33" s="295"/>
      <c r="TJ33" s="295"/>
      <c r="TK33" s="295"/>
      <c r="TL33" s="295"/>
      <c r="TM33" s="295"/>
      <c r="TN33" s="295"/>
      <c r="TO33" s="295"/>
      <c r="TP33" s="295"/>
      <c r="TQ33" s="295"/>
      <c r="TR33" s="295"/>
      <c r="TS33" s="295"/>
      <c r="TT33" s="295"/>
      <c r="TU33" s="295"/>
      <c r="TV33" s="295"/>
      <c r="TW33" s="295"/>
      <c r="TX33" s="295"/>
      <c r="TY33" s="295"/>
      <c r="TZ33" s="295"/>
      <c r="UA33" s="295"/>
      <c r="UB33" s="295"/>
      <c r="UC33" s="295"/>
      <c r="UD33" s="295"/>
      <c r="UE33" s="295"/>
      <c r="UF33" s="295"/>
      <c r="UG33" s="295"/>
      <c r="UH33" s="295"/>
      <c r="UI33" s="295"/>
      <c r="UJ33" s="295"/>
      <c r="UK33" s="295"/>
      <c r="UL33" s="295"/>
      <c r="UM33" s="295"/>
      <c r="UN33" s="295"/>
      <c r="UO33" s="295"/>
      <c r="UP33" s="295"/>
      <c r="UQ33" s="295"/>
      <c r="UR33" s="295"/>
      <c r="US33" s="295"/>
      <c r="UT33" s="295"/>
      <c r="UU33" s="295"/>
      <c r="UV33" s="295"/>
      <c r="UW33" s="295"/>
      <c r="UX33" s="295"/>
      <c r="UY33" s="295"/>
      <c r="UZ33" s="295"/>
      <c r="VA33" s="295"/>
      <c r="VB33" s="295"/>
      <c r="VC33" s="295"/>
      <c r="VD33" s="295"/>
      <c r="VE33" s="295"/>
      <c r="VF33" s="295"/>
      <c r="VG33" s="295"/>
      <c r="VH33" s="295"/>
      <c r="VI33" s="295"/>
      <c r="VJ33" s="295"/>
      <c r="VK33" s="295"/>
      <c r="VL33" s="295"/>
      <c r="VM33" s="295"/>
      <c r="VN33" s="295"/>
      <c r="VO33" s="295"/>
      <c r="VP33" s="295"/>
      <c r="VQ33" s="295"/>
      <c r="VR33" s="295"/>
      <c r="VS33" s="295"/>
      <c r="VT33" s="295"/>
      <c r="VU33" s="295"/>
      <c r="VV33" s="295"/>
      <c r="VW33" s="295"/>
      <c r="VX33" s="295"/>
      <c r="VY33" s="295"/>
      <c r="VZ33" s="295"/>
      <c r="WA33" s="295"/>
      <c r="WB33" s="295"/>
      <c r="WC33" s="295"/>
      <c r="WD33" s="295"/>
      <c r="WE33" s="295"/>
      <c r="WF33" s="295"/>
      <c r="WG33" s="295"/>
      <c r="WH33" s="295"/>
      <c r="WI33" s="295"/>
      <c r="WJ33" s="295"/>
      <c r="WK33" s="295"/>
      <c r="WL33" s="295"/>
      <c r="WM33" s="295"/>
      <c r="WN33" s="295"/>
      <c r="WO33" s="295"/>
      <c r="WP33" s="295"/>
      <c r="WQ33" s="295"/>
      <c r="WR33" s="295"/>
      <c r="WS33" s="295"/>
      <c r="WT33" s="295"/>
      <c r="WU33" s="295"/>
      <c r="WV33" s="295"/>
      <c r="WW33" s="295"/>
      <c r="WX33" s="295"/>
      <c r="WY33" s="295"/>
      <c r="WZ33" s="295"/>
      <c r="XA33" s="295"/>
      <c r="XB33" s="295"/>
      <c r="XC33" s="295"/>
      <c r="XD33" s="295"/>
      <c r="XE33" s="295"/>
      <c r="XF33" s="295"/>
      <c r="XG33" s="295"/>
      <c r="XH33" s="295"/>
      <c r="XI33" s="295"/>
      <c r="XJ33" s="295"/>
      <c r="XK33" s="295"/>
      <c r="XL33" s="295"/>
      <c r="XM33" s="295"/>
      <c r="XN33" s="295"/>
      <c r="XO33" s="295"/>
      <c r="XP33" s="295"/>
      <c r="XQ33" s="295"/>
      <c r="XR33" s="295"/>
      <c r="XS33" s="295"/>
      <c r="XT33" s="295"/>
      <c r="XU33" s="295"/>
      <c r="XV33" s="295"/>
      <c r="XW33" s="295"/>
      <c r="XX33" s="295"/>
      <c r="XY33" s="295"/>
      <c r="XZ33" s="295"/>
      <c r="YA33" s="295"/>
      <c r="YB33" s="295"/>
      <c r="YC33" s="295"/>
      <c r="YD33" s="295"/>
      <c r="YE33" s="295"/>
      <c r="YF33" s="295"/>
      <c r="YG33" s="295"/>
      <c r="YH33" s="295"/>
      <c r="YI33" s="295"/>
      <c r="YJ33" s="295"/>
      <c r="YK33" s="295"/>
      <c r="YL33" s="295"/>
      <c r="YM33" s="295"/>
      <c r="YN33" s="295"/>
      <c r="YO33" s="295"/>
      <c r="YP33" s="295"/>
      <c r="YQ33" s="295"/>
      <c r="YR33" s="295"/>
      <c r="YS33" s="295"/>
      <c r="YT33" s="295"/>
      <c r="YU33" s="295"/>
      <c r="YV33" s="295"/>
      <c r="YW33" s="295"/>
      <c r="YX33" s="295"/>
      <c r="YY33" s="295"/>
      <c r="YZ33" s="295"/>
      <c r="ZA33" s="295"/>
      <c r="ZB33" s="295"/>
      <c r="ZC33" s="295"/>
      <c r="ZD33" s="295"/>
      <c r="ZE33" s="295"/>
      <c r="ZF33" s="295"/>
      <c r="ZG33" s="295"/>
      <c r="ZH33" s="295"/>
      <c r="ZI33" s="295"/>
      <c r="ZJ33" s="295"/>
      <c r="ZK33" s="295"/>
      <c r="ZL33" s="295"/>
      <c r="ZM33" s="295"/>
      <c r="ZN33" s="295"/>
      <c r="ZO33" s="295"/>
      <c r="ZP33" s="295"/>
      <c r="ZQ33" s="295"/>
      <c r="ZR33" s="295"/>
      <c r="ZS33" s="295"/>
      <c r="ZT33" s="295"/>
      <c r="ZU33" s="295"/>
      <c r="ZV33" s="295"/>
      <c r="ZW33" s="295"/>
      <c r="ZX33" s="295"/>
      <c r="ZY33" s="295"/>
      <c r="ZZ33" s="295"/>
      <c r="AAA33" s="295"/>
      <c r="AAB33" s="295"/>
      <c r="AAC33" s="295"/>
      <c r="AAD33" s="295"/>
      <c r="AAE33" s="295"/>
      <c r="AAF33" s="295"/>
      <c r="AAG33" s="295"/>
      <c r="AAH33" s="295"/>
      <c r="AAI33" s="295"/>
      <c r="AAJ33" s="295"/>
      <c r="AAK33" s="295"/>
      <c r="AAL33" s="295"/>
      <c r="AAM33" s="295"/>
      <c r="AAN33" s="295"/>
      <c r="AAO33" s="295"/>
      <c r="AAP33" s="295"/>
      <c r="AAQ33" s="295"/>
      <c r="AAR33" s="295"/>
      <c r="AAS33" s="295"/>
      <c r="AAT33" s="295"/>
      <c r="AAU33" s="295"/>
      <c r="AAV33" s="295"/>
      <c r="AAW33" s="295"/>
      <c r="AAX33" s="295"/>
      <c r="AAY33" s="295"/>
      <c r="AAZ33" s="295"/>
      <c r="ABA33" s="295"/>
      <c r="ABB33" s="295"/>
      <c r="ABC33" s="295"/>
      <c r="ABD33" s="295"/>
      <c r="ABE33" s="295"/>
      <c r="ABF33" s="295"/>
      <c r="ABG33" s="295"/>
      <c r="ABH33" s="295"/>
      <c r="ABI33" s="295"/>
      <c r="ABJ33" s="295"/>
      <c r="ABK33" s="295"/>
      <c r="ABL33" s="295"/>
      <c r="ABM33" s="295"/>
      <c r="ABN33" s="295"/>
      <c r="ABO33" s="295"/>
      <c r="ABP33" s="295"/>
      <c r="ABQ33" s="295"/>
      <c r="ABR33" s="295"/>
      <c r="ABS33" s="295"/>
      <c r="ABT33" s="295"/>
      <c r="ABU33" s="295"/>
      <c r="ABV33" s="295"/>
      <c r="ABW33" s="295"/>
      <c r="ABX33" s="295"/>
      <c r="ABY33" s="295"/>
      <c r="ABZ33" s="295"/>
      <c r="ACA33" s="295"/>
      <c r="ACB33" s="295"/>
      <c r="ACC33" s="295"/>
      <c r="ACD33" s="295"/>
      <c r="ACE33" s="295"/>
      <c r="ACF33" s="295"/>
      <c r="ACG33" s="295"/>
      <c r="ACH33" s="295"/>
      <c r="ACI33" s="295"/>
      <c r="ACJ33" s="295"/>
      <c r="ACK33" s="295"/>
      <c r="ACL33" s="295"/>
      <c r="ACM33" s="295"/>
      <c r="ACN33" s="295"/>
      <c r="ACO33" s="295"/>
      <c r="ACP33" s="295"/>
      <c r="ACQ33" s="295"/>
      <c r="ACR33" s="295"/>
      <c r="ACS33" s="295"/>
      <c r="ACT33" s="295"/>
      <c r="ACU33" s="295"/>
      <c r="ACV33" s="295"/>
      <c r="ACW33" s="295"/>
      <c r="ACX33" s="295"/>
      <c r="ACY33" s="295"/>
      <c r="ACZ33" s="295"/>
      <c r="ADA33" s="295"/>
      <c r="ADB33" s="295"/>
      <c r="ADC33" s="295"/>
      <c r="ADD33" s="295"/>
      <c r="ADE33" s="295"/>
      <c r="ADF33" s="295"/>
      <c r="ADG33" s="295"/>
      <c r="ADH33" s="295"/>
      <c r="ADI33" s="295"/>
      <c r="ADJ33" s="295"/>
      <c r="ADK33" s="295"/>
      <c r="ADL33" s="295"/>
      <c r="ADM33" s="295"/>
      <c r="ADN33" s="295"/>
      <c r="ADO33" s="295"/>
      <c r="ADP33" s="295"/>
      <c r="ADQ33" s="295"/>
      <c r="ADR33" s="295"/>
      <c r="ADS33" s="295"/>
      <c r="ADT33" s="295"/>
      <c r="ADU33" s="295"/>
      <c r="ADV33" s="295"/>
      <c r="ADW33" s="295"/>
      <c r="ADX33" s="295"/>
      <c r="ADY33" s="295"/>
      <c r="ADZ33" s="295"/>
      <c r="AEA33" s="295"/>
      <c r="AEB33" s="295"/>
      <c r="AEC33" s="295"/>
      <c r="AED33" s="295"/>
      <c r="AEE33" s="295"/>
      <c r="AEF33" s="295"/>
      <c r="AEG33" s="295"/>
      <c r="AEH33" s="295"/>
      <c r="AEI33" s="295"/>
      <c r="AEJ33" s="295"/>
      <c r="AEK33" s="295"/>
      <c r="AEL33" s="295"/>
      <c r="AEM33" s="295"/>
      <c r="AEN33" s="295"/>
      <c r="AEO33" s="295"/>
      <c r="AEP33" s="295"/>
      <c r="AEQ33" s="295"/>
      <c r="AER33" s="295"/>
      <c r="AES33" s="295"/>
      <c r="AET33" s="295"/>
      <c r="AEU33" s="295"/>
      <c r="AEV33" s="295"/>
      <c r="AEW33" s="295"/>
      <c r="AEX33" s="295"/>
      <c r="AEY33" s="295"/>
      <c r="AEZ33" s="295"/>
      <c r="AFA33" s="295"/>
      <c r="AFB33" s="295"/>
      <c r="AFC33" s="295"/>
      <c r="AFD33" s="295"/>
      <c r="AFE33" s="295"/>
      <c r="AFF33" s="295"/>
      <c r="AFG33" s="295"/>
      <c r="AFH33" s="295"/>
      <c r="AFI33" s="295"/>
      <c r="AFJ33" s="295"/>
      <c r="AFK33" s="295"/>
      <c r="AFL33" s="295"/>
      <c r="AFM33" s="295"/>
      <c r="AFN33" s="295"/>
      <c r="AFO33" s="295"/>
      <c r="AFP33" s="295"/>
      <c r="AFQ33" s="295"/>
      <c r="AFR33" s="295"/>
      <c r="AFS33" s="295"/>
      <c r="AFT33" s="295"/>
      <c r="AFU33" s="295"/>
      <c r="AFV33" s="295"/>
      <c r="AFW33" s="295"/>
      <c r="AFX33" s="295"/>
      <c r="AFY33" s="295"/>
      <c r="AFZ33" s="295"/>
      <c r="AGA33" s="295"/>
      <c r="AGB33" s="295"/>
      <c r="AGC33" s="295"/>
      <c r="AGD33" s="295"/>
      <c r="AGE33" s="295"/>
      <c r="AGF33" s="295"/>
      <c r="AGG33" s="295"/>
      <c r="AGH33" s="295"/>
      <c r="AGI33" s="295"/>
      <c r="AGJ33" s="295"/>
      <c r="AGK33" s="295"/>
      <c r="AGL33" s="295"/>
      <c r="AGM33" s="295"/>
      <c r="AGN33" s="295"/>
      <c r="AGO33" s="295"/>
      <c r="AGP33" s="295"/>
      <c r="AGQ33" s="295"/>
      <c r="AGR33" s="295"/>
      <c r="AGS33" s="295"/>
      <c r="AGT33" s="295"/>
      <c r="AGU33" s="295"/>
      <c r="AGV33" s="295"/>
      <c r="AGW33" s="295"/>
      <c r="AGX33" s="295"/>
      <c r="AGY33" s="295"/>
      <c r="AGZ33" s="295"/>
      <c r="AHA33" s="295"/>
      <c r="AHB33" s="295"/>
      <c r="AHC33" s="295"/>
      <c r="AHD33" s="295"/>
      <c r="AHE33" s="295"/>
      <c r="AHF33" s="295"/>
      <c r="AHG33" s="295"/>
      <c r="AHH33" s="295"/>
      <c r="AHI33" s="295"/>
      <c r="AHJ33" s="295"/>
      <c r="AHK33" s="295"/>
      <c r="AHL33" s="295"/>
      <c r="AHM33" s="295"/>
      <c r="AHN33" s="295"/>
      <c r="AHO33" s="295"/>
      <c r="AHP33" s="295"/>
      <c r="AHQ33" s="295"/>
      <c r="AHR33" s="295"/>
      <c r="AHS33" s="295"/>
      <c r="AHT33" s="295"/>
      <c r="AHU33" s="295"/>
      <c r="AHV33" s="295"/>
      <c r="AHW33" s="295"/>
      <c r="AHX33" s="295"/>
      <c r="AHY33" s="295"/>
      <c r="AHZ33" s="295"/>
      <c r="AIA33" s="295"/>
      <c r="AIB33" s="295"/>
      <c r="AIC33" s="295"/>
      <c r="AID33" s="295"/>
      <c r="AIE33" s="295"/>
      <c r="AIF33" s="295"/>
      <c r="AIG33" s="295"/>
      <c r="AIH33" s="295"/>
      <c r="AII33" s="295"/>
      <c r="AIJ33" s="295"/>
      <c r="AIK33" s="295"/>
      <c r="AIL33" s="295"/>
      <c r="AIM33" s="295"/>
      <c r="AIN33" s="295"/>
      <c r="AIO33" s="295"/>
      <c r="AIP33" s="295"/>
      <c r="AIQ33" s="295"/>
      <c r="AIR33" s="295"/>
      <c r="AIS33" s="295"/>
      <c r="AIT33" s="295"/>
      <c r="AIU33" s="295"/>
      <c r="AIV33" s="295"/>
      <c r="AIW33" s="295"/>
      <c r="AIX33" s="295"/>
      <c r="AIY33" s="295"/>
      <c r="AIZ33" s="295"/>
      <c r="AJA33" s="295"/>
      <c r="AJB33" s="295"/>
      <c r="AJC33" s="295"/>
      <c r="AJD33" s="295"/>
      <c r="AJE33" s="295"/>
      <c r="AJF33" s="295"/>
      <c r="AJG33" s="295"/>
      <c r="AJH33" s="295"/>
      <c r="AJI33" s="295"/>
      <c r="AJJ33" s="295"/>
      <c r="AJK33" s="295"/>
      <c r="AJL33" s="295"/>
      <c r="AJM33" s="295"/>
      <c r="AJN33" s="295"/>
      <c r="AJO33" s="295"/>
      <c r="AJP33" s="295"/>
      <c r="AJQ33" s="295"/>
      <c r="AJR33" s="295"/>
      <c r="AJS33" s="295"/>
      <c r="AJT33" s="295"/>
      <c r="AJU33" s="295"/>
      <c r="AJV33" s="295"/>
      <c r="AJW33" s="295"/>
      <c r="AJX33" s="295"/>
      <c r="AJY33" s="295"/>
      <c r="AJZ33" s="295"/>
      <c r="AKA33" s="295"/>
      <c r="AKB33" s="295"/>
      <c r="AKC33" s="295"/>
      <c r="AKD33" s="295"/>
      <c r="AKE33" s="295"/>
      <c r="AKF33" s="295"/>
      <c r="AKG33" s="295"/>
      <c r="AKH33" s="295"/>
      <c r="AKI33" s="295"/>
      <c r="AKJ33" s="295"/>
      <c r="AKK33" s="295"/>
      <c r="AKL33" s="295"/>
      <c r="AKM33" s="295"/>
      <c r="AKN33" s="295"/>
      <c r="AKO33" s="295"/>
      <c r="AKP33" s="295"/>
      <c r="AKQ33" s="295"/>
      <c r="AKR33" s="295"/>
      <c r="AKS33" s="295"/>
      <c r="AKT33" s="295"/>
      <c r="AKU33" s="295"/>
      <c r="AKV33" s="295"/>
      <c r="AKW33" s="295"/>
      <c r="AKX33" s="295"/>
      <c r="AKY33" s="295"/>
      <c r="AKZ33" s="295"/>
      <c r="ALA33" s="295"/>
      <c r="ALB33" s="295"/>
      <c r="ALC33" s="295"/>
      <c r="ALD33" s="295"/>
      <c r="ALE33" s="295"/>
      <c r="ALF33" s="295"/>
      <c r="ALG33" s="295"/>
      <c r="ALH33" s="295"/>
      <c r="ALI33" s="295"/>
      <c r="ALJ33" s="295"/>
      <c r="ALK33" s="295"/>
      <c r="ALL33" s="313"/>
    </row>
    <row r="34" s="291" customFormat="1" ht="48.75" customHeight="1">
      <c r="C34" t="s" s="310">
        <v>370</v>
      </c>
      <c r="D34" s="213"/>
      <c r="E34" s="211"/>
      <c r="F34" t="s" s="310">
        <v>371</v>
      </c>
      <c r="G34" s="213"/>
      <c r="H34" s="211"/>
      <c r="I34" t="s" s="309">
        <v>372</v>
      </c>
      <c r="J34" s="307"/>
      <c r="K34" s="307"/>
      <c r="L34" s="307"/>
      <c r="M34" s="307"/>
      <c r="N34" s="307"/>
      <c r="O34" s="307"/>
      <c r="P34" s="307"/>
      <c r="Q34" s="307"/>
      <c r="R34" s="308"/>
      <c r="S34" t="s" s="310">
        <f>IF(OR(AND($S$20&gt;=90,$S$20&lt;=100),$S$22="ja"),$F$34,"")</f>
      </c>
      <c r="T34" s="213"/>
      <c r="U34" s="211"/>
    </row>
    <row r="35" s="291" customFormat="1" ht="15.75" customHeight="1">
      <c r="C35" t="s" s="314">
        <v>373</v>
      </c>
      <c r="D35" s="315"/>
      <c r="E35" s="315"/>
      <c r="F35" s="315"/>
      <c r="G35" s="315"/>
      <c r="H35" s="315"/>
      <c r="I35" s="315"/>
      <c r="J35" s="315"/>
      <c r="K35" s="315"/>
    </row>
    <row r="37" s="291" customFormat="1" ht="15.75" customHeight="1">
      <c r="C37" t="s" s="54">
        <v>374</v>
      </c>
      <c r="D37" s="55"/>
      <c r="E37" s="44"/>
      <c r="F37" s="45"/>
      <c r="G37" s="46"/>
    </row>
    <row r="39" s="291" customFormat="1" ht="15.75" customHeight="1">
      <c r="C39" t="s" s="54">
        <v>375</v>
      </c>
      <c r="D39" s="63"/>
      <c r="E39" s="63"/>
      <c r="F39" s="63"/>
      <c r="G39" s="63"/>
      <c r="H39" s="63"/>
    </row>
    <row r="43" s="291" customFormat="1" ht="15.75" customHeight="1">
      <c r="C43" t="s" s="102">
        <v>376</v>
      </c>
      <c r="D43" s="103"/>
      <c r="E43" s="103"/>
      <c r="F43" s="103"/>
      <c r="G43" s="103"/>
      <c r="H43" s="103"/>
    </row>
    <row r="44" s="291" customFormat="1" ht="90" customHeight="1">
      <c r="C44" s="85"/>
      <c r="D44" s="86"/>
      <c r="E44" s="86"/>
      <c r="F44" s="86"/>
      <c r="G44" s="86"/>
      <c r="H44" s="86"/>
      <c r="I44" s="86"/>
      <c r="J44" s="86"/>
      <c r="K44" s="86"/>
      <c r="L44" s="86"/>
      <c r="M44" s="86"/>
      <c r="N44" s="86"/>
      <c r="O44" s="86"/>
      <c r="P44" s="86"/>
      <c r="Q44" s="86"/>
      <c r="R44" s="86"/>
      <c r="S44" s="86"/>
      <c r="T44" s="86"/>
      <c r="U44" s="87"/>
    </row>
    <row r="46" s="291" customFormat="1" ht="15.75" customHeight="1">
      <c r="C46" t="s" s="41">
        <v>377</v>
      </c>
      <c r="D46" s="42"/>
      <c r="E46" s="42"/>
      <c r="F46" s="42"/>
      <c r="G46" s="42"/>
      <c r="H46" s="42"/>
    </row>
    <row r="47" s="291" customFormat="1" ht="15.75" customHeight="1">
      <c r="C47" t="s" s="49">
        <v>378</v>
      </c>
    </row>
    <row r="49" s="291" customFormat="1" ht="25.5" customHeight="1">
      <c r="C49" s="71"/>
      <c r="D49" t="s" s="72">
        <v>379</v>
      </c>
      <c r="E49" s="73"/>
      <c r="F49" s="73"/>
      <c r="G49" s="73"/>
      <c r="H49" s="73"/>
      <c r="I49" s="73"/>
      <c r="J49" s="73"/>
      <c r="K49" s="73"/>
      <c r="L49" s="73"/>
      <c r="M49" s="73"/>
      <c r="N49" s="73"/>
      <c r="O49" s="73"/>
      <c r="P49" s="73"/>
      <c r="Q49" s="73"/>
      <c r="R49" s="73"/>
      <c r="S49" s="73"/>
      <c r="T49" s="73"/>
      <c r="U49" s="74"/>
    </row>
    <row r="50" s="291" customFormat="1" ht="25.5" customHeight="1">
      <c r="C50" s="75"/>
      <c r="D50" t="s" s="76">
        <v>380</v>
      </c>
      <c r="E50" s="77"/>
      <c r="F50" s="77"/>
      <c r="G50" s="77"/>
      <c r="H50" s="77"/>
      <c r="I50" s="77"/>
      <c r="J50" s="77"/>
      <c r="K50" s="77"/>
      <c r="L50" s="77"/>
      <c r="M50" s="77"/>
      <c r="N50" s="77"/>
      <c r="O50" s="77"/>
      <c r="P50" s="77"/>
      <c r="Q50" s="77"/>
      <c r="R50" s="77"/>
      <c r="S50" s="77"/>
      <c r="T50" s="77"/>
      <c r="U50" s="78"/>
    </row>
    <row r="51" s="291" customFormat="1" ht="25.5" customHeight="1">
      <c r="C51" s="79"/>
      <c r="D51" t="s" s="80">
        <v>381</v>
      </c>
      <c r="E51" s="81"/>
      <c r="F51" s="81"/>
      <c r="G51" s="81"/>
      <c r="H51" s="81"/>
      <c r="I51" s="81"/>
      <c r="J51" s="81"/>
      <c r="K51" s="81"/>
      <c r="L51" s="81"/>
      <c r="M51" s="81"/>
      <c r="N51" s="81"/>
      <c r="O51" s="81"/>
      <c r="P51" s="81"/>
      <c r="Q51" s="81"/>
      <c r="R51" s="81"/>
      <c r="S51" s="81"/>
      <c r="T51" s="81"/>
      <c r="U51" s="82"/>
    </row>
    <row r="53" s="291" customFormat="1" ht="15.75" customHeight="1">
      <c r="A53" t="s" s="95">
        <v>270</v>
      </c>
      <c r="B53" s="96">
        <v>2</v>
      </c>
      <c r="C53" t="s" s="97">
        <f>CONCATENATE(A53,B53)</f>
        <v>273</v>
      </c>
      <c r="D53" t="s" s="41">
        <v>71</v>
      </c>
      <c r="E53" s="42"/>
      <c r="F53" s="42"/>
      <c r="G53" s="42"/>
      <c r="H53" s="42"/>
      <c r="I53" s="42"/>
      <c r="J53" s="42"/>
      <c r="K53" s="42"/>
      <c r="L53" s="42"/>
      <c r="M53" s="42"/>
    </row>
    <row r="55" s="291" customFormat="1" ht="20.1" customHeight="1">
      <c r="C55" t="s" s="296">
        <v>382</v>
      </c>
      <c r="D55" s="297"/>
      <c r="E55" s="297"/>
      <c r="F55" s="297"/>
      <c r="G55" s="297"/>
      <c r="H55" s="297"/>
      <c r="I55" s="297"/>
      <c r="J55" s="297"/>
      <c r="K55" s="297"/>
      <c r="L55" s="316"/>
      <c r="M55" t="s" s="317">
        <v>383</v>
      </c>
      <c r="N55" s="318"/>
      <c r="O55" s="319"/>
      <c r="P55" t="s" s="296">
        <v>384</v>
      </c>
      <c r="Q55" s="297"/>
      <c r="R55" s="297"/>
      <c r="S55" s="297"/>
      <c r="T55" s="297"/>
      <c r="U55" s="320"/>
    </row>
    <row r="56" s="291" customFormat="1" ht="215.1" customHeight="1">
      <c r="A56" s="13"/>
      <c r="B56" s="15"/>
      <c r="C56" t="s" s="321">
        <v>90</v>
      </c>
      <c r="D56" s="322"/>
      <c r="E56" s="322"/>
      <c r="F56" s="322"/>
      <c r="G56" s="322"/>
      <c r="H56" s="323"/>
      <c r="I56" t="s" s="324">
        <v>91</v>
      </c>
      <c r="J56" s="325"/>
      <c r="K56" t="s" s="324">
        <v>385</v>
      </c>
      <c r="L56" s="326"/>
      <c r="M56" s="327"/>
      <c r="N56" s="328"/>
      <c r="O56" s="329"/>
      <c r="P56" t="s" s="330">
        <v>386</v>
      </c>
      <c r="Q56" s="331"/>
      <c r="R56" s="332"/>
      <c r="S56" t="s" s="330">
        <v>387</v>
      </c>
      <c r="T56" s="331"/>
      <c r="U56" s="332"/>
    </row>
    <row r="57" s="291" customFormat="1" ht="33" customHeight="1">
      <c r="C57" t="s" s="333">
        <f>IF('Kap. 1, 2, 3'!F180&lt;&gt;"",'Kap. 1, 2, 3'!F180,"")</f>
      </c>
      <c r="D57" s="334"/>
      <c r="E57" s="334"/>
      <c r="F57" s="334"/>
      <c r="G57" s="334"/>
      <c r="H57" s="335"/>
      <c r="I57" t="s" s="336">
        <f>IF('Kap. 1, 2, 3'!L180&lt;&gt;"",'Kap. 1, 2, 3'!L180,"")</f>
      </c>
      <c r="J57" s="337"/>
      <c r="K57" t="s" s="338">
        <f>IF('Kap. 1, 2, 3'!O180&lt;&gt;"",'Kap. 1, 2, 3'!O180,"")</f>
      </c>
      <c r="L57" s="339"/>
      <c r="M57" s="340"/>
      <c r="N57" s="341"/>
      <c r="O57" s="342"/>
      <c r="P57" s="343"/>
      <c r="Q57" s="344"/>
      <c r="R57" s="345"/>
      <c r="S57" s="343"/>
      <c r="T57" s="344"/>
      <c r="U57" s="345"/>
    </row>
    <row r="58" s="291" customFormat="1" ht="20.1" customHeight="1">
      <c r="C58" t="s" s="346">
        <f>IF('Kap. 1, 2, 3'!F181&lt;&gt;"",'Kap. 1, 2, 3'!F181,"")</f>
      </c>
      <c r="D58" s="347"/>
      <c r="E58" s="347"/>
      <c r="F58" s="347"/>
      <c r="G58" s="347"/>
      <c r="H58" s="348"/>
      <c r="I58" s="349"/>
      <c r="J58" s="350"/>
      <c r="K58" s="351"/>
      <c r="L58" s="352"/>
      <c r="M58" s="353"/>
      <c r="N58" s="354"/>
      <c r="O58" s="355"/>
      <c r="P58" s="356"/>
      <c r="Q58" s="357"/>
      <c r="R58" s="358"/>
      <c r="S58" s="356"/>
      <c r="T58" s="357"/>
      <c r="U58" s="358"/>
    </row>
    <row r="59" s="291" customFormat="1" ht="20.1" customHeight="1">
      <c r="C59" t="s" s="346">
        <f>IF('Kap. 1, 2, 3'!F182&lt;&gt;"",'Kap. 1, 2, 3'!F182,"")</f>
      </c>
      <c r="D59" s="359"/>
      <c r="E59" s="359"/>
      <c r="F59" s="359"/>
      <c r="G59" s="359"/>
      <c r="H59" s="360"/>
      <c r="I59" s="349"/>
      <c r="J59" s="350"/>
      <c r="K59" s="351"/>
      <c r="L59" s="352"/>
      <c r="M59" s="353"/>
      <c r="N59" s="354"/>
      <c r="O59" s="355"/>
      <c r="P59" s="356"/>
      <c r="Q59" s="357"/>
      <c r="R59" s="358"/>
      <c r="S59" s="356"/>
      <c r="T59" s="357"/>
      <c r="U59" s="358"/>
    </row>
    <row r="60" s="291" customFormat="1" ht="33" customHeight="1">
      <c r="C60" t="s" s="361">
        <f>IF('Kap. 1, 2, 3'!F183&lt;&gt;"",'Kap. 1, 2, 3'!F183,"")</f>
      </c>
      <c r="D60" s="362"/>
      <c r="E60" s="362"/>
      <c r="F60" s="362"/>
      <c r="G60" s="362"/>
      <c r="H60" s="363"/>
      <c r="I60" s="349"/>
      <c r="J60" s="350"/>
      <c r="K60" s="351"/>
      <c r="L60" s="352"/>
      <c r="M60" s="353"/>
      <c r="N60" s="354"/>
      <c r="O60" s="355"/>
      <c r="P60" s="356"/>
      <c r="Q60" s="357"/>
      <c r="R60" s="358"/>
      <c r="S60" s="356"/>
      <c r="T60" s="357"/>
      <c r="U60" s="358"/>
    </row>
    <row r="61" s="291" customFormat="1" ht="20.1" customHeight="1">
      <c r="C61" t="s" s="364">
        <f>IF('Kap. 1, 2, 3'!F184&lt;&gt;"",'Kap. 1, 2, 3'!F184,"")</f>
      </c>
      <c r="D61" s="365"/>
      <c r="E61" s="365"/>
      <c r="F61" s="365"/>
      <c r="G61" s="365"/>
      <c r="H61" s="366"/>
      <c r="I61" s="367"/>
      <c r="J61" s="368"/>
      <c r="K61" s="369"/>
      <c r="L61" s="370"/>
      <c r="M61" s="371"/>
      <c r="N61" s="372"/>
      <c r="O61" s="373"/>
      <c r="P61" s="374"/>
      <c r="Q61" s="375"/>
      <c r="R61" s="376"/>
      <c r="S61" s="374"/>
      <c r="T61" s="375"/>
      <c r="U61" s="376"/>
    </row>
    <row r="62" s="291" customFormat="1" ht="33" customHeight="1">
      <c r="C62" t="s" s="333">
        <f>IF('Kap. 1, 2, 3'!F185&lt;&gt;"",'Kap. 1, 2, 3'!F185,"")</f>
      </c>
      <c r="D62" s="334"/>
      <c r="E62" s="334"/>
      <c r="F62" s="334"/>
      <c r="G62" s="334"/>
      <c r="H62" s="335"/>
      <c r="I62" t="s" s="336">
        <f>IF('Kap. 1, 2, 3'!L185&lt;&gt;"",'Kap. 1, 2, 3'!L185,"")</f>
      </c>
      <c r="J62" s="337"/>
      <c r="K62" t="s" s="338">
        <f>IF('Kap. 1, 2, 3'!O185&lt;&gt;"",'Kap. 1, 2, 3'!O185,"")</f>
      </c>
      <c r="L62" s="339"/>
      <c r="M62" s="340"/>
      <c r="N62" s="341"/>
      <c r="O62" s="342"/>
      <c r="P62" s="343"/>
      <c r="Q62" s="344"/>
      <c r="R62" s="345"/>
      <c r="S62" s="343"/>
      <c r="T62" s="344"/>
      <c r="U62" s="345"/>
    </row>
    <row r="63" s="291" customFormat="1" ht="20.1" customHeight="1">
      <c r="C63" t="s" s="346">
        <f>IF('Kap. 1, 2, 3'!F186&lt;&gt;"",'Kap. 1, 2, 3'!F186,"")</f>
      </c>
      <c r="D63" s="347"/>
      <c r="E63" s="347"/>
      <c r="F63" s="347"/>
      <c r="G63" s="347"/>
      <c r="H63" s="348"/>
      <c r="I63" s="349"/>
      <c r="J63" s="350"/>
      <c r="K63" s="351"/>
      <c r="L63" s="352"/>
      <c r="M63" s="353"/>
      <c r="N63" s="354"/>
      <c r="O63" s="355"/>
      <c r="P63" s="356"/>
      <c r="Q63" s="357"/>
      <c r="R63" s="358"/>
      <c r="S63" s="356"/>
      <c r="T63" s="357"/>
      <c r="U63" s="358"/>
    </row>
    <row r="64" s="291" customFormat="1" ht="20.1" customHeight="1">
      <c r="C64" t="s" s="346">
        <f>IF('Kap. 1, 2, 3'!F187&lt;&gt;"",'Kap. 1, 2, 3'!F187,"")</f>
      </c>
      <c r="D64" s="359"/>
      <c r="E64" s="359"/>
      <c r="F64" s="359"/>
      <c r="G64" s="359"/>
      <c r="H64" s="360"/>
      <c r="I64" s="349"/>
      <c r="J64" s="350"/>
      <c r="K64" s="351"/>
      <c r="L64" s="352"/>
      <c r="M64" s="353"/>
      <c r="N64" s="354"/>
      <c r="O64" s="355"/>
      <c r="P64" s="356"/>
      <c r="Q64" s="357"/>
      <c r="R64" s="358"/>
      <c r="S64" s="356"/>
      <c r="T64" s="357"/>
      <c r="U64" s="358"/>
    </row>
    <row r="65" s="291" customFormat="1" ht="33" customHeight="1">
      <c r="C65" t="s" s="361">
        <f>IF('Kap. 1, 2, 3'!F188&lt;&gt;"",'Kap. 1, 2, 3'!F188,"")</f>
      </c>
      <c r="D65" s="362"/>
      <c r="E65" s="362"/>
      <c r="F65" s="362"/>
      <c r="G65" s="362"/>
      <c r="H65" s="363"/>
      <c r="I65" s="349"/>
      <c r="J65" s="350"/>
      <c r="K65" s="351"/>
      <c r="L65" s="352"/>
      <c r="M65" s="353"/>
      <c r="N65" s="354"/>
      <c r="O65" s="355"/>
      <c r="P65" s="356"/>
      <c r="Q65" s="357"/>
      <c r="R65" s="358"/>
      <c r="S65" s="356"/>
      <c r="T65" s="357"/>
      <c r="U65" s="358"/>
    </row>
    <row r="66" s="291" customFormat="1" ht="20.1" customHeight="1">
      <c r="C66" t="s" s="364">
        <f>IF('Kap. 1, 2, 3'!F189&lt;&gt;"",'Kap. 1, 2, 3'!F189,"")</f>
      </c>
      <c r="D66" s="365"/>
      <c r="E66" s="365"/>
      <c r="F66" s="365"/>
      <c r="G66" s="365"/>
      <c r="H66" s="366"/>
      <c r="I66" s="367"/>
      <c r="J66" s="368"/>
      <c r="K66" s="369"/>
      <c r="L66" s="370"/>
      <c r="M66" s="371"/>
      <c r="N66" s="372"/>
      <c r="O66" s="373"/>
      <c r="P66" s="374"/>
      <c r="Q66" s="375"/>
      <c r="R66" s="376"/>
      <c r="S66" s="374"/>
      <c r="T66" s="375"/>
      <c r="U66" s="376"/>
    </row>
    <row r="67" s="291" customFormat="1" ht="33" customHeight="1">
      <c r="C67" t="s" s="333">
        <f>IF('Kap. 1, 2, 3'!F190&lt;&gt;"",'Kap. 1, 2, 3'!F190,"")</f>
      </c>
      <c r="D67" s="334"/>
      <c r="E67" s="334"/>
      <c r="F67" s="334"/>
      <c r="G67" s="334"/>
      <c r="H67" s="335"/>
      <c r="I67" t="s" s="336">
        <f>IF('Kap. 1, 2, 3'!L190&lt;&gt;"",'Kap. 1, 2, 3'!L190,"")</f>
      </c>
      <c r="J67" s="337"/>
      <c r="K67" t="s" s="338">
        <f>IF('Kap. 1, 2, 3'!O190&lt;&gt;"",'Kap. 1, 2, 3'!O190,"")</f>
      </c>
      <c r="L67" s="339"/>
      <c r="M67" s="340"/>
      <c r="N67" s="341"/>
      <c r="O67" s="342"/>
      <c r="P67" s="343"/>
      <c r="Q67" s="344"/>
      <c r="R67" s="345"/>
      <c r="S67" s="343"/>
      <c r="T67" s="344"/>
      <c r="U67" s="345"/>
    </row>
    <row r="68" s="291" customFormat="1" ht="20.1" customHeight="1">
      <c r="C68" t="s" s="346">
        <f>IF('Kap. 1, 2, 3'!F191&lt;&gt;"",'Kap. 1, 2, 3'!F191,"")</f>
      </c>
      <c r="D68" s="347"/>
      <c r="E68" s="347"/>
      <c r="F68" s="347"/>
      <c r="G68" s="347"/>
      <c r="H68" s="348"/>
      <c r="I68" s="349"/>
      <c r="J68" s="350"/>
      <c r="K68" s="351"/>
      <c r="L68" s="352"/>
      <c r="M68" s="353"/>
      <c r="N68" s="354"/>
      <c r="O68" s="355"/>
      <c r="P68" s="356"/>
      <c r="Q68" s="357"/>
      <c r="R68" s="358"/>
      <c r="S68" s="356"/>
      <c r="T68" s="357"/>
      <c r="U68" s="358"/>
    </row>
    <row r="69" s="291" customFormat="1" ht="20.1" customHeight="1">
      <c r="C69" t="s" s="346">
        <f>IF('Kap. 1, 2, 3'!F192&lt;&gt;"",'Kap. 1, 2, 3'!F192,"")</f>
      </c>
      <c r="D69" s="359"/>
      <c r="E69" s="359"/>
      <c r="F69" s="359"/>
      <c r="G69" s="359"/>
      <c r="H69" s="360"/>
      <c r="I69" s="349"/>
      <c r="J69" s="350"/>
      <c r="K69" s="351"/>
      <c r="L69" s="352"/>
      <c r="M69" s="353"/>
      <c r="N69" s="354"/>
      <c r="O69" s="355"/>
      <c r="P69" s="356"/>
      <c r="Q69" s="357"/>
      <c r="R69" s="358"/>
      <c r="S69" s="356"/>
      <c r="T69" s="357"/>
      <c r="U69" s="358"/>
    </row>
    <row r="70" s="291" customFormat="1" ht="33" customHeight="1">
      <c r="C70" t="s" s="361">
        <f>IF('Kap. 1, 2, 3'!F193&lt;&gt;"",'Kap. 1, 2, 3'!F193,"")</f>
      </c>
      <c r="D70" s="362"/>
      <c r="E70" s="362"/>
      <c r="F70" s="362"/>
      <c r="G70" s="362"/>
      <c r="H70" s="363"/>
      <c r="I70" s="349"/>
      <c r="J70" s="350"/>
      <c r="K70" s="351"/>
      <c r="L70" s="352"/>
      <c r="M70" s="353"/>
      <c r="N70" s="354"/>
      <c r="O70" s="355"/>
      <c r="P70" s="356"/>
      <c r="Q70" s="357"/>
      <c r="R70" s="358"/>
      <c r="S70" s="356"/>
      <c r="T70" s="357"/>
      <c r="U70" s="358"/>
    </row>
    <row r="71" s="291" customFormat="1" ht="20.1" customHeight="1">
      <c r="C71" t="s" s="364">
        <f>IF('Kap. 1, 2, 3'!F194&lt;&gt;"",'Kap. 1, 2, 3'!F194,"")</f>
      </c>
      <c r="D71" s="365"/>
      <c r="E71" s="365"/>
      <c r="F71" s="365"/>
      <c r="G71" s="365"/>
      <c r="H71" s="366"/>
      <c r="I71" s="367"/>
      <c r="J71" s="368"/>
      <c r="K71" s="369"/>
      <c r="L71" s="370"/>
      <c r="M71" s="371"/>
      <c r="N71" s="372"/>
      <c r="O71" s="373"/>
      <c r="P71" s="374"/>
      <c r="Q71" s="375"/>
      <c r="R71" s="376"/>
      <c r="S71" s="374"/>
      <c r="T71" s="375"/>
      <c r="U71" s="376"/>
    </row>
    <row r="72" s="291" customFormat="1" ht="33" customHeight="1">
      <c r="C72" t="s" s="333">
        <f>IF('Kap. 1, 2, 3'!F195&lt;&gt;"",'Kap. 1, 2, 3'!F195,"")</f>
      </c>
      <c r="D72" s="334"/>
      <c r="E72" s="334"/>
      <c r="F72" s="334"/>
      <c r="G72" s="334"/>
      <c r="H72" s="335"/>
      <c r="I72" t="s" s="336">
        <f>IF('Kap. 1, 2, 3'!L195&lt;&gt;"",'Kap. 1, 2, 3'!L195,"")</f>
      </c>
      <c r="J72" s="337"/>
      <c r="K72" t="s" s="338">
        <f>IF('Kap. 1, 2, 3'!O195&lt;&gt;"",'Kap. 1, 2, 3'!O195,"")</f>
      </c>
      <c r="L72" s="339"/>
      <c r="M72" s="340"/>
      <c r="N72" s="341"/>
      <c r="O72" s="342"/>
      <c r="P72" s="343"/>
      <c r="Q72" s="344"/>
      <c r="R72" s="345"/>
      <c r="S72" s="343"/>
      <c r="T72" s="344"/>
      <c r="U72" s="345"/>
    </row>
    <row r="73" s="291" customFormat="1" ht="20.1" customHeight="1">
      <c r="C73" t="s" s="346">
        <f>IF('Kap. 1, 2, 3'!F196&lt;&gt;"",'Kap. 1, 2, 3'!F196,"")</f>
      </c>
      <c r="D73" s="347"/>
      <c r="E73" s="347"/>
      <c r="F73" s="347"/>
      <c r="G73" s="347"/>
      <c r="H73" s="348"/>
      <c r="I73" s="349"/>
      <c r="J73" s="350"/>
      <c r="K73" s="351"/>
      <c r="L73" s="352"/>
      <c r="M73" s="353"/>
      <c r="N73" s="354"/>
      <c r="O73" s="355"/>
      <c r="P73" s="356"/>
      <c r="Q73" s="357"/>
      <c r="R73" s="358"/>
      <c r="S73" s="356"/>
      <c r="T73" s="357"/>
      <c r="U73" s="358"/>
    </row>
    <row r="74" s="291" customFormat="1" ht="20.1" customHeight="1">
      <c r="C74" t="s" s="346">
        <f>IF('Kap. 1, 2, 3'!F197&lt;&gt;"",'Kap. 1, 2, 3'!F197,"")</f>
      </c>
      <c r="D74" s="359"/>
      <c r="E74" s="359"/>
      <c r="F74" s="359"/>
      <c r="G74" s="359"/>
      <c r="H74" s="360"/>
      <c r="I74" s="349"/>
      <c r="J74" s="350"/>
      <c r="K74" s="351"/>
      <c r="L74" s="352"/>
      <c r="M74" s="353"/>
      <c r="N74" s="354"/>
      <c r="O74" s="355"/>
      <c r="P74" s="356"/>
      <c r="Q74" s="357"/>
      <c r="R74" s="358"/>
      <c r="S74" s="356"/>
      <c r="T74" s="357"/>
      <c r="U74" s="358"/>
    </row>
    <row r="75" s="291" customFormat="1" ht="33" customHeight="1">
      <c r="C75" t="s" s="361">
        <f>IF('Kap. 1, 2, 3'!F198&lt;&gt;"",'Kap. 1, 2, 3'!F198,"")</f>
      </c>
      <c r="D75" s="362"/>
      <c r="E75" s="362"/>
      <c r="F75" s="362"/>
      <c r="G75" s="362"/>
      <c r="H75" s="363"/>
      <c r="I75" s="349"/>
      <c r="J75" s="350"/>
      <c r="K75" s="351"/>
      <c r="L75" s="352"/>
      <c r="M75" s="353"/>
      <c r="N75" s="354"/>
      <c r="O75" s="355"/>
      <c r="P75" s="356"/>
      <c r="Q75" s="357"/>
      <c r="R75" s="358"/>
      <c r="S75" s="356"/>
      <c r="T75" s="357"/>
      <c r="U75" s="358"/>
    </row>
    <row r="76" s="291" customFormat="1" ht="20.1" customHeight="1">
      <c r="C76" t="s" s="364">
        <f>IF('Kap. 1, 2, 3'!F199&lt;&gt;"",'Kap. 1, 2, 3'!F199,"")</f>
      </c>
      <c r="D76" s="365"/>
      <c r="E76" s="365"/>
      <c r="F76" s="365"/>
      <c r="G76" s="365"/>
      <c r="H76" s="366"/>
      <c r="I76" s="367"/>
      <c r="J76" s="368"/>
      <c r="K76" s="369"/>
      <c r="L76" s="370"/>
      <c r="M76" s="371"/>
      <c r="N76" s="372"/>
      <c r="O76" s="373"/>
      <c r="P76" s="374"/>
      <c r="Q76" s="375"/>
      <c r="R76" s="376"/>
      <c r="S76" s="374"/>
      <c r="T76" s="375"/>
      <c r="U76" s="376"/>
    </row>
    <row r="78" s="291" customFormat="1" ht="15.75" customHeight="1">
      <c r="C78" t="s" s="102">
        <v>388</v>
      </c>
      <c r="D78" s="103"/>
      <c r="E78" s="103"/>
      <c r="F78" s="103"/>
      <c r="G78" s="103"/>
      <c r="H78" s="103"/>
    </row>
    <row r="79" s="291" customFormat="1" ht="90" customHeight="1">
      <c r="C79" s="85"/>
      <c r="D79" s="86"/>
      <c r="E79" s="86"/>
      <c r="F79" s="86"/>
      <c r="G79" s="86"/>
      <c r="H79" s="86"/>
      <c r="I79" s="86"/>
      <c r="J79" s="86"/>
      <c r="K79" s="86"/>
      <c r="L79" s="86"/>
      <c r="M79" s="86"/>
      <c r="N79" s="86"/>
      <c r="O79" s="86"/>
      <c r="P79" s="86"/>
      <c r="Q79" s="86"/>
      <c r="R79" s="86"/>
      <c r="S79" s="86"/>
      <c r="T79" s="86"/>
      <c r="U79" s="87"/>
    </row>
    <row r="81" s="291" customFormat="1" ht="15.75" customHeight="1">
      <c r="A81" t="s" s="95">
        <v>270</v>
      </c>
      <c r="B81" s="96">
        <v>3</v>
      </c>
      <c r="C81" t="s" s="97">
        <f>CONCATENATE(A81,B81)</f>
        <v>275</v>
      </c>
      <c r="D81" t="s" s="41">
        <v>389</v>
      </c>
      <c r="E81" s="42"/>
      <c r="F81" s="42"/>
      <c r="G81" s="42"/>
      <c r="H81" s="42"/>
      <c r="I81" s="42"/>
      <c r="J81" s="42"/>
      <c r="K81" s="42"/>
      <c r="L81" s="42"/>
      <c r="M81" s="42"/>
    </row>
    <row r="85" s="291" customFormat="1" ht="90" customHeight="1">
      <c r="C85" s="85"/>
      <c r="D85" s="86"/>
      <c r="E85" s="86"/>
      <c r="F85" s="86"/>
      <c r="G85" s="86"/>
      <c r="H85" s="86"/>
      <c r="I85" s="86"/>
      <c r="J85" s="86"/>
      <c r="K85" s="86"/>
      <c r="L85" s="86"/>
      <c r="M85" s="86"/>
      <c r="N85" s="86"/>
      <c r="O85" s="86"/>
      <c r="P85" s="86"/>
      <c r="Q85" s="86"/>
      <c r="R85" s="86"/>
      <c r="S85" s="86"/>
      <c r="T85" s="86"/>
      <c r="U85" s="87"/>
    </row>
    <row r="87" s="291" customFormat="1" ht="15.75" customHeight="1">
      <c r="A87" t="s" s="95">
        <v>270</v>
      </c>
      <c r="B87" s="96">
        <v>4</v>
      </c>
      <c r="C87" t="s" s="97">
        <f>CONCATENATE(A87,B87)</f>
        <v>277</v>
      </c>
      <c r="D87" t="s" s="41">
        <v>390</v>
      </c>
      <c r="E87" s="42"/>
      <c r="F87" s="42"/>
      <c r="G87" s="42"/>
      <c r="H87" s="42"/>
      <c r="I87" s="42"/>
      <c r="J87" s="42"/>
      <c r="K87" s="42"/>
      <c r="L87" s="42"/>
      <c r="M87" s="42"/>
    </row>
    <row r="89" s="291" customFormat="1" ht="25.5" customHeight="1">
      <c r="C89" s="71"/>
      <c r="D89" t="s" s="72">
        <v>59</v>
      </c>
      <c r="E89" s="73"/>
      <c r="F89" s="73"/>
      <c r="G89" s="73"/>
      <c r="H89" s="73"/>
      <c r="I89" s="73"/>
      <c r="J89" s="73"/>
      <c r="K89" s="73"/>
      <c r="L89" s="73"/>
      <c r="M89" s="73"/>
      <c r="N89" s="73"/>
      <c r="O89" s="73"/>
      <c r="P89" s="73"/>
      <c r="Q89" s="73"/>
      <c r="R89" s="73"/>
      <c r="S89" s="73"/>
      <c r="T89" s="73"/>
      <c r="U89" s="74"/>
    </row>
    <row r="90" s="291" customFormat="1" ht="25.5" customHeight="1">
      <c r="C90" s="75"/>
      <c r="D90" t="s" s="76">
        <v>391</v>
      </c>
      <c r="E90" s="77"/>
      <c r="F90" s="77"/>
      <c r="G90" s="77"/>
      <c r="H90" s="77"/>
      <c r="I90" s="77"/>
      <c r="J90" s="77"/>
      <c r="K90" s="77"/>
      <c r="L90" s="77"/>
      <c r="M90" s="77"/>
      <c r="N90" s="77"/>
      <c r="O90" s="77"/>
      <c r="P90" s="77"/>
      <c r="Q90" s="77"/>
      <c r="R90" s="77"/>
      <c r="S90" s="77"/>
      <c r="T90" s="77"/>
      <c r="U90" s="78"/>
    </row>
    <row r="91" s="291" customFormat="1" ht="25.5" customHeight="1">
      <c r="C91" s="75"/>
      <c r="D91" t="s" s="76">
        <v>392</v>
      </c>
      <c r="E91" s="77"/>
      <c r="F91" s="77"/>
      <c r="G91" s="77"/>
      <c r="H91" s="77"/>
      <c r="I91" s="77"/>
      <c r="J91" s="77"/>
      <c r="K91" s="77"/>
      <c r="L91" s="77"/>
      <c r="M91" s="77"/>
      <c r="N91" s="77"/>
      <c r="O91" s="77"/>
      <c r="P91" s="77"/>
      <c r="Q91" s="77"/>
      <c r="R91" s="77"/>
      <c r="S91" s="77"/>
      <c r="T91" s="77"/>
      <c r="U91" s="78"/>
    </row>
    <row r="92" s="291" customFormat="1" ht="25.5" customHeight="1">
      <c r="C92" s="79"/>
      <c r="D92" t="s" s="80">
        <v>393</v>
      </c>
      <c r="E92" s="81"/>
      <c r="F92" s="81"/>
      <c r="G92" s="81"/>
      <c r="H92" s="81"/>
      <c r="I92" s="81"/>
      <c r="J92" s="81"/>
      <c r="K92" s="81"/>
      <c r="L92" s="81"/>
      <c r="M92" s="81"/>
      <c r="N92" s="81"/>
      <c r="O92" s="81"/>
      <c r="P92" s="81"/>
      <c r="Q92" s="81"/>
      <c r="R92" s="81"/>
      <c r="S92" s="81"/>
      <c r="T92" s="81"/>
      <c r="U92" s="82"/>
    </row>
    <row r="94" s="291" customFormat="1" ht="90" customHeight="1">
      <c r="C94" s="85"/>
      <c r="D94" s="86"/>
      <c r="E94" s="86"/>
      <c r="F94" s="86"/>
      <c r="G94" s="86"/>
      <c r="H94" s="86"/>
      <c r="I94" s="86"/>
      <c r="J94" s="86"/>
      <c r="K94" s="86"/>
      <c r="L94" s="86"/>
      <c r="M94" s="86"/>
      <c r="N94" s="86"/>
      <c r="O94" s="86"/>
      <c r="P94" s="86"/>
      <c r="Q94" s="86"/>
      <c r="R94" s="86"/>
      <c r="S94" s="86"/>
      <c r="T94" s="86"/>
      <c r="U94" s="87"/>
    </row>
  </sheetData>
  <mergeCells count="130">
    <mergeCell ref="E37:G37"/>
    <mergeCell ref="D51:U51"/>
    <mergeCell ref="C44:U44"/>
    <mergeCell ref="D49:U49"/>
    <mergeCell ref="D50:U50"/>
    <mergeCell ref="E15:R15"/>
    <mergeCell ref="S15:U15"/>
    <mergeCell ref="C16:D16"/>
    <mergeCell ref="E16:R16"/>
    <mergeCell ref="S16:U16"/>
    <mergeCell ref="E18:R18"/>
    <mergeCell ref="S18:U18"/>
    <mergeCell ref="S20:U20"/>
    <mergeCell ref="S22:U22"/>
    <mergeCell ref="C26:U26"/>
    <mergeCell ref="C22:R22"/>
    <mergeCell ref="C35:K35"/>
    <mergeCell ref="C39:H39"/>
    <mergeCell ref="C43:H43"/>
    <mergeCell ref="C46:H46"/>
    <mergeCell ref="C37:D37"/>
    <mergeCell ref="C4:U4"/>
    <mergeCell ref="Q5:S5"/>
    <mergeCell ref="T5:U5"/>
    <mergeCell ref="C6:F6"/>
    <mergeCell ref="G6:H6"/>
    <mergeCell ref="C8:U8"/>
    <mergeCell ref="C10:U10"/>
    <mergeCell ref="C12:D12"/>
    <mergeCell ref="S12:U12"/>
    <mergeCell ref="E12:R12"/>
    <mergeCell ref="C13:D13"/>
    <mergeCell ref="E13:R13"/>
    <mergeCell ref="S13:U13"/>
    <mergeCell ref="C14:D14"/>
    <mergeCell ref="E14:R14"/>
    <mergeCell ref="S14:U14"/>
    <mergeCell ref="C15:D15"/>
    <mergeCell ref="F34:H34"/>
    <mergeCell ref="C31:E31"/>
    <mergeCell ref="S31:U31"/>
    <mergeCell ref="I30:R30"/>
    <mergeCell ref="I31:R31"/>
    <mergeCell ref="I32:R32"/>
    <mergeCell ref="C17:D17"/>
    <mergeCell ref="E17:R17"/>
    <mergeCell ref="S17:U17"/>
    <mergeCell ref="S32:U32"/>
    <mergeCell ref="S33:U33"/>
    <mergeCell ref="I33:R33"/>
    <mergeCell ref="C29:E29"/>
    <mergeCell ref="C30:E30"/>
    <mergeCell ref="S30:U30"/>
    <mergeCell ref="S29:U29"/>
    <mergeCell ref="C18:D18"/>
    <mergeCell ref="P56:R56"/>
    <mergeCell ref="S56:U56"/>
    <mergeCell ref="C79:U79"/>
    <mergeCell ref="D53:M53"/>
    <mergeCell ref="D24:M24"/>
    <mergeCell ref="D81:M81"/>
    <mergeCell ref="C85:U85"/>
    <mergeCell ref="D87:M87"/>
    <mergeCell ref="D89:U89"/>
    <mergeCell ref="I34:R34"/>
    <mergeCell ref="C28:E28"/>
    <mergeCell ref="F28:H28"/>
    <mergeCell ref="I28:R28"/>
    <mergeCell ref="S28:U28"/>
    <mergeCell ref="S34:U34"/>
    <mergeCell ref="I29:R29"/>
    <mergeCell ref="C33:E33"/>
    <mergeCell ref="C32:E32"/>
    <mergeCell ref="C34:E34"/>
    <mergeCell ref="F29:H29"/>
    <mergeCell ref="F30:H30"/>
    <mergeCell ref="F31:H31"/>
    <mergeCell ref="F32:H32"/>
    <mergeCell ref="F33:H33"/>
    <mergeCell ref="C66:H66"/>
    <mergeCell ref="C67:H67"/>
    <mergeCell ref="P55:U55"/>
    <mergeCell ref="M55:O56"/>
    <mergeCell ref="C55:L55"/>
    <mergeCell ref="I56:J56"/>
    <mergeCell ref="K56:L56"/>
    <mergeCell ref="C56:H56"/>
    <mergeCell ref="K57:L61"/>
    <mergeCell ref="I57:J61"/>
    <mergeCell ref="I62:J66"/>
    <mergeCell ref="K62:L66"/>
    <mergeCell ref="I67:J71"/>
    <mergeCell ref="K67:L71"/>
    <mergeCell ref="M57:O61"/>
    <mergeCell ref="P57:R61"/>
    <mergeCell ref="C68:H68"/>
    <mergeCell ref="C69:H69"/>
    <mergeCell ref="S57:U61"/>
    <mergeCell ref="M62:O66"/>
    <mergeCell ref="P62:R66"/>
    <mergeCell ref="S62:U66"/>
    <mergeCell ref="M67:O71"/>
    <mergeCell ref="P67:R71"/>
    <mergeCell ref="C57:H57"/>
    <mergeCell ref="C58:H58"/>
    <mergeCell ref="C59:H59"/>
    <mergeCell ref="C60:H60"/>
    <mergeCell ref="C61:H61"/>
    <mergeCell ref="C62:H62"/>
    <mergeCell ref="C63:H63"/>
    <mergeCell ref="C64:H64"/>
    <mergeCell ref="C65:H65"/>
    <mergeCell ref="D91:U91"/>
    <mergeCell ref="D92:U92"/>
    <mergeCell ref="D90:U90"/>
    <mergeCell ref="C94:U94"/>
    <mergeCell ref="C71:H71"/>
    <mergeCell ref="C72:H72"/>
    <mergeCell ref="C73:H73"/>
    <mergeCell ref="C74:H74"/>
    <mergeCell ref="C75:H75"/>
    <mergeCell ref="C76:H76"/>
    <mergeCell ref="I72:J76"/>
    <mergeCell ref="K72:L76"/>
    <mergeCell ref="S67:U71"/>
    <mergeCell ref="M72:O76"/>
    <mergeCell ref="P72:R76"/>
    <mergeCell ref="S72:U76"/>
    <mergeCell ref="C70:H70"/>
    <mergeCell ref="C78:H78"/>
  </mergeCells>
  <pageMargins left="0.59" right="0.59" top="0.629921" bottom="0.98" header="0.51" footer="0.51"/>
  <pageSetup firstPageNumber="1" fitToHeight="1" fitToWidth="1" scale="74" useFirstPageNumber="0" orientation="portrait" pageOrder="downThenOver"/>
  <drawing r:id="rId1"/>
  <legacyDrawing r:id="rId2"/>
</worksheet>
</file>

<file path=xl/worksheets/sheet10.xml><?xml version="1.0" encoding="utf-8"?>
<worksheet xmlns:r="http://schemas.openxmlformats.org/officeDocument/2006/relationships" xmlns="http://schemas.openxmlformats.org/spreadsheetml/2006/main">
  <dimension ref="A1:W335"/>
  <sheetViews>
    <sheetView workbookViewId="0" showGridLines="0" defaultGridColor="1"/>
  </sheetViews>
  <sheetFormatPr defaultColWidth="5.83333" defaultRowHeight="15.75" customHeight="1" outlineLevelRow="0" outlineLevelCol="0"/>
  <cols>
    <col min="1" max="23" width="5.85156" style="377" customWidth="1"/>
    <col min="24" max="16384" width="5.85156" style="377" customWidth="1"/>
  </cols>
  <sheetData>
    <row r="1" ht="15.75" customHeight="1">
      <c r="A1" s="7"/>
      <c r="B1" s="8"/>
      <c r="C1" s="8"/>
      <c r="D1" s="8"/>
      <c r="E1" s="8"/>
      <c r="F1" s="8"/>
      <c r="G1" s="8"/>
      <c r="H1" s="8"/>
      <c r="I1" s="8"/>
      <c r="J1" s="8"/>
      <c r="K1" s="8"/>
      <c r="L1" s="8"/>
      <c r="M1" s="8"/>
      <c r="N1" s="8"/>
      <c r="O1" s="8"/>
      <c r="P1" s="8"/>
      <c r="Q1" s="8"/>
      <c r="R1" s="8"/>
      <c r="S1" s="8"/>
      <c r="T1" s="8"/>
      <c r="U1" s="8"/>
      <c r="V1" s="8"/>
      <c r="W1" s="9"/>
    </row>
    <row r="2" ht="15.75" customHeight="1">
      <c r="A2" t="s" s="10">
        <v>6</v>
      </c>
      <c r="B2" s="11"/>
      <c r="C2" s="11"/>
      <c r="D2" s="11"/>
      <c r="E2" s="11"/>
      <c r="F2" s="11"/>
      <c r="G2" s="11"/>
      <c r="H2" s="11"/>
      <c r="I2" s="11"/>
      <c r="J2" s="11"/>
      <c r="K2" s="11"/>
      <c r="L2" s="11"/>
      <c r="M2" s="11"/>
      <c r="N2" s="11"/>
      <c r="O2" s="11"/>
      <c r="P2" s="11"/>
      <c r="Q2" s="11"/>
      <c r="R2" s="11"/>
      <c r="S2" s="11"/>
      <c r="T2" s="11"/>
      <c r="U2" s="11"/>
      <c r="V2" s="11"/>
      <c r="W2" s="12"/>
    </row>
    <row r="3" ht="15.75" customHeight="1">
      <c r="A3" s="13"/>
      <c r="B3" s="11"/>
      <c r="C3" s="14"/>
      <c r="D3" s="14"/>
      <c r="E3" s="14"/>
      <c r="F3" s="14"/>
      <c r="G3" s="14"/>
      <c r="H3" s="14"/>
      <c r="I3" s="14"/>
      <c r="J3" s="14"/>
      <c r="K3" s="14"/>
      <c r="L3" s="14"/>
      <c r="M3" s="14"/>
      <c r="N3" s="14"/>
      <c r="O3" s="14"/>
      <c r="P3" s="14"/>
      <c r="Q3" s="14"/>
      <c r="R3" s="14"/>
      <c r="S3" s="14"/>
      <c r="T3" s="14"/>
      <c r="U3" s="14"/>
      <c r="V3" s="11"/>
      <c r="W3" s="12"/>
    </row>
    <row r="4" ht="18.75" customHeight="1">
      <c r="A4" s="13"/>
      <c r="B4" s="15"/>
      <c r="C4" t="s" s="16">
        <v>7</v>
      </c>
      <c r="D4" s="17"/>
      <c r="E4" s="17"/>
      <c r="F4" s="17"/>
      <c r="G4" s="17"/>
      <c r="H4" s="17"/>
      <c r="I4" s="17"/>
      <c r="J4" s="17"/>
      <c r="K4" s="17"/>
      <c r="L4" s="17"/>
      <c r="M4" s="17"/>
      <c r="N4" s="17"/>
      <c r="O4" s="17"/>
      <c r="P4" s="17"/>
      <c r="Q4" s="17"/>
      <c r="R4" s="17"/>
      <c r="S4" s="17"/>
      <c r="T4" s="17"/>
      <c r="U4" s="18"/>
      <c r="V4" s="19"/>
      <c r="W4" s="12"/>
    </row>
    <row r="5" ht="15" customHeight="1">
      <c r="A5" s="20"/>
      <c r="B5" s="21"/>
      <c r="C5" t="s" s="22">
        <v>8</v>
      </c>
      <c r="D5" s="23"/>
      <c r="E5" s="23"/>
      <c r="F5" s="23"/>
      <c r="G5" t="s" s="24">
        <f>'Kap. 1, 2, 3'!G5</f>
        <v>104</v>
      </c>
      <c r="H5" s="25"/>
      <c r="I5" s="25"/>
      <c r="J5" s="25"/>
      <c r="K5" s="25"/>
      <c r="L5" s="25"/>
      <c r="M5" s="25"/>
      <c r="N5" s="25"/>
      <c r="O5" s="25"/>
      <c r="P5" s="25"/>
      <c r="Q5" t="s" s="26">
        <v>10</v>
      </c>
      <c r="R5" s="27"/>
      <c r="S5" s="27"/>
      <c r="T5" s="28">
        <f>'Kap. 1, 2, 3'!T5:U5</f>
      </c>
      <c r="U5" s="29"/>
      <c r="V5" s="19"/>
      <c r="W5" s="12"/>
    </row>
    <row r="6" ht="18" customHeight="1">
      <c r="A6" s="20"/>
      <c r="B6" s="21"/>
      <c r="C6" t="s" s="30">
        <v>11</v>
      </c>
      <c r="D6" s="31"/>
      <c r="E6" s="31"/>
      <c r="F6" s="31"/>
      <c r="G6" s="32">
        <f>'Kap. 1, 2, 3'!G6:H6</f>
      </c>
      <c r="H6" s="32"/>
      <c r="I6" s="33"/>
      <c r="J6" s="33"/>
      <c r="K6" s="33"/>
      <c r="L6" s="33"/>
      <c r="M6" s="33"/>
      <c r="N6" s="33"/>
      <c r="O6" s="33"/>
      <c r="P6" s="33"/>
      <c r="Q6" s="33"/>
      <c r="R6" s="33"/>
      <c r="S6" s="33"/>
      <c r="T6" s="33"/>
      <c r="U6" s="34"/>
      <c r="V6" s="19"/>
      <c r="W6" s="12"/>
    </row>
    <row r="7" ht="15.75" customHeight="1">
      <c r="A7" s="13"/>
      <c r="B7" s="11"/>
      <c r="C7" s="35"/>
      <c r="D7" s="35"/>
      <c r="E7" s="35"/>
      <c r="F7" s="35"/>
      <c r="G7" s="35"/>
      <c r="H7" s="35"/>
      <c r="I7" s="35"/>
      <c r="J7" s="35"/>
      <c r="K7" s="35"/>
      <c r="L7" s="35"/>
      <c r="M7" s="35"/>
      <c r="N7" s="35"/>
      <c r="O7" s="35"/>
      <c r="P7" s="35"/>
      <c r="Q7" s="35"/>
      <c r="R7" s="35"/>
      <c r="S7" s="35"/>
      <c r="T7" s="35"/>
      <c r="U7" s="35"/>
      <c r="V7" s="11"/>
      <c r="W7" s="12"/>
    </row>
    <row r="8" ht="21" customHeight="1">
      <c r="A8" s="13"/>
      <c r="B8" s="11"/>
      <c r="C8" t="s" s="38">
        <v>395</v>
      </c>
      <c r="D8" s="39"/>
      <c r="E8" s="39"/>
      <c r="F8" s="39"/>
      <c r="G8" s="39"/>
      <c r="H8" s="39"/>
      <c r="I8" s="39"/>
      <c r="J8" s="39"/>
      <c r="K8" s="39"/>
      <c r="L8" s="39"/>
      <c r="M8" s="39"/>
      <c r="N8" s="39"/>
      <c r="O8" s="39"/>
      <c r="P8" s="39"/>
      <c r="Q8" s="39"/>
      <c r="R8" s="39"/>
      <c r="S8" s="39"/>
      <c r="T8" s="39"/>
      <c r="U8" s="39"/>
      <c r="V8" s="11"/>
      <c r="W8" s="12"/>
    </row>
    <row r="9" ht="15.75" customHeight="1">
      <c r="A9" s="13"/>
      <c r="B9" s="11"/>
      <c r="C9" s="11"/>
      <c r="D9" s="11"/>
      <c r="E9" s="11"/>
      <c r="F9" s="11"/>
      <c r="G9" s="11"/>
      <c r="H9" s="11"/>
      <c r="I9" s="11"/>
      <c r="J9" s="11"/>
      <c r="K9" s="11"/>
      <c r="L9" s="11"/>
      <c r="M9" s="11"/>
      <c r="N9" s="11"/>
      <c r="O9" s="11"/>
      <c r="P9" s="11"/>
      <c r="Q9" s="11"/>
      <c r="R9" s="11"/>
      <c r="S9" s="11"/>
      <c r="T9" s="11"/>
      <c r="U9" s="11"/>
      <c r="V9" s="11"/>
      <c r="W9" s="12"/>
    </row>
    <row r="10" ht="15.75" customHeight="1">
      <c r="A10" t="s" s="95">
        <v>320</v>
      </c>
      <c r="B10" s="96">
        <v>1</v>
      </c>
      <c r="C10" t="s" s="97">
        <f>CONCATENATE(A10,B10)</f>
        <v>321</v>
      </c>
      <c r="D10" t="s" s="41">
        <v>396</v>
      </c>
      <c r="E10" s="42"/>
      <c r="F10" s="42"/>
      <c r="G10" s="42"/>
      <c r="H10" s="42"/>
      <c r="I10" s="11"/>
      <c r="J10" s="11"/>
      <c r="K10" s="11"/>
      <c r="L10" s="11"/>
      <c r="M10" s="11"/>
      <c r="N10" s="11"/>
      <c r="O10" s="11"/>
      <c r="P10" s="11"/>
      <c r="Q10" s="11"/>
      <c r="R10" s="11"/>
      <c r="S10" s="11"/>
      <c r="T10" s="11"/>
      <c r="U10" s="11"/>
      <c r="V10" s="11"/>
      <c r="W10" s="12"/>
    </row>
    <row r="11" ht="15.75" customHeight="1">
      <c r="A11" s="13"/>
      <c r="B11" s="11"/>
      <c r="C11" s="11"/>
      <c r="D11" s="11"/>
      <c r="E11" s="11"/>
      <c r="F11" s="11"/>
      <c r="G11" s="11"/>
      <c r="H11" s="11"/>
      <c r="I11" s="11"/>
      <c r="J11" s="11"/>
      <c r="K11" s="11"/>
      <c r="L11" s="11"/>
      <c r="M11" s="11"/>
      <c r="N11" s="11"/>
      <c r="O11" s="11"/>
      <c r="P11" s="11"/>
      <c r="Q11" s="11"/>
      <c r="R11" s="11"/>
      <c r="S11" s="11"/>
      <c r="T11" s="11"/>
      <c r="U11" s="11"/>
      <c r="V11" s="11"/>
      <c r="W11" s="12"/>
    </row>
    <row r="12" ht="15.75" customHeight="1">
      <c r="A12" s="13"/>
      <c r="B12" s="11"/>
      <c r="C12" t="s" s="41">
        <v>397</v>
      </c>
      <c r="D12" s="42"/>
      <c r="E12" s="42"/>
      <c r="F12" s="42"/>
      <c r="G12" s="42"/>
      <c r="H12" s="42"/>
      <c r="I12" s="42"/>
      <c r="J12" s="11"/>
      <c r="K12" s="11"/>
      <c r="L12" s="11"/>
      <c r="M12" s="11"/>
      <c r="N12" s="11"/>
      <c r="O12" s="11"/>
      <c r="P12" s="11"/>
      <c r="Q12" s="11"/>
      <c r="R12" s="11"/>
      <c r="S12" s="11"/>
      <c r="T12" s="11"/>
      <c r="U12" s="11"/>
      <c r="V12" s="11"/>
      <c r="W12" s="12"/>
    </row>
    <row r="13" ht="15.75" customHeight="1">
      <c r="A13" t="s" s="95">
        <v>320</v>
      </c>
      <c r="B13" t="s" s="49">
        <v>54</v>
      </c>
      <c r="C13" t="s" s="97">
        <f>CONCATENATE(A13,B13)</f>
        <v>398</v>
      </c>
      <c r="D13" t="s" s="41">
        <v>399</v>
      </c>
      <c r="E13" s="42"/>
      <c r="F13" s="42"/>
      <c r="G13" s="42"/>
      <c r="H13" s="42"/>
      <c r="I13" s="42"/>
      <c r="J13" s="42"/>
      <c r="K13" s="42"/>
      <c r="L13" s="42"/>
      <c r="M13" s="11"/>
      <c r="N13" s="11"/>
      <c r="O13" s="11"/>
      <c r="P13" s="11"/>
      <c r="Q13" s="11"/>
      <c r="R13" s="11"/>
      <c r="S13" s="11"/>
      <c r="T13" s="11"/>
      <c r="U13" s="11"/>
      <c r="V13" s="11"/>
      <c r="W13" s="12"/>
    </row>
    <row r="14" ht="15.75" customHeight="1">
      <c r="A14" s="13"/>
      <c r="B14" s="11"/>
      <c r="C14" s="40"/>
      <c r="D14" s="40"/>
      <c r="E14" s="40"/>
      <c r="F14" s="40"/>
      <c r="G14" s="40"/>
      <c r="H14" s="40"/>
      <c r="I14" s="40"/>
      <c r="J14" s="40"/>
      <c r="K14" s="40"/>
      <c r="L14" s="40"/>
      <c r="M14" s="40"/>
      <c r="N14" s="40"/>
      <c r="O14" t="s" s="64">
        <v>26</v>
      </c>
      <c r="P14" s="11"/>
      <c r="Q14" s="11"/>
      <c r="R14" s="11"/>
      <c r="S14" s="11"/>
      <c r="T14" s="11"/>
      <c r="U14" s="11"/>
      <c r="V14" s="11"/>
      <c r="W14" s="12"/>
    </row>
    <row r="15" ht="20.1" customHeight="1">
      <c r="A15" s="13"/>
      <c r="B15" s="50"/>
      <c r="C15" s="65"/>
      <c r="D15" s="66"/>
      <c r="E15" s="66"/>
      <c r="F15" s="66"/>
      <c r="G15" s="66"/>
      <c r="H15" s="66"/>
      <c r="I15" s="66"/>
      <c r="J15" s="66"/>
      <c r="K15" s="66"/>
      <c r="L15" s="66"/>
      <c r="M15" s="66"/>
      <c r="N15" s="66"/>
      <c r="O15" s="67"/>
      <c r="P15" s="47"/>
      <c r="Q15" s="11"/>
      <c r="R15" s="11"/>
      <c r="S15" s="11"/>
      <c r="T15" s="11"/>
      <c r="U15" s="11"/>
      <c r="V15" s="11"/>
      <c r="W15" s="12"/>
    </row>
    <row r="16" ht="15.75" customHeight="1">
      <c r="A16" s="13"/>
      <c r="B16" s="11"/>
      <c r="C16" s="48"/>
      <c r="D16" s="48"/>
      <c r="E16" s="48"/>
      <c r="F16" s="48"/>
      <c r="G16" s="48"/>
      <c r="H16" s="48"/>
      <c r="I16" s="48"/>
      <c r="J16" s="48"/>
      <c r="K16" s="48"/>
      <c r="L16" s="48"/>
      <c r="M16" s="48"/>
      <c r="N16" s="48"/>
      <c r="O16" s="48"/>
      <c r="P16" s="11"/>
      <c r="Q16" s="11"/>
      <c r="R16" s="11"/>
      <c r="S16" s="11"/>
      <c r="T16" s="11"/>
      <c r="U16" s="11"/>
      <c r="V16" s="11"/>
      <c r="W16" s="12"/>
    </row>
    <row r="17" ht="15.75" customHeight="1">
      <c r="A17" t="s" s="95">
        <v>320</v>
      </c>
      <c r="B17" t="s" s="49">
        <v>56</v>
      </c>
      <c r="C17" t="s" s="97">
        <f>CONCATENATE(A17,B17)</f>
        <v>400</v>
      </c>
      <c r="D17" t="s" s="41">
        <v>401</v>
      </c>
      <c r="E17" s="42"/>
      <c r="F17" s="42"/>
      <c r="G17" s="42"/>
      <c r="H17" s="42"/>
      <c r="I17" s="42"/>
      <c r="J17" s="42"/>
      <c r="K17" s="42"/>
      <c r="L17" s="42"/>
      <c r="M17" s="42"/>
      <c r="N17" s="42"/>
      <c r="O17" s="42"/>
      <c r="P17" s="42"/>
      <c r="Q17" s="42"/>
      <c r="R17" s="98"/>
      <c r="S17" s="98"/>
      <c r="T17" s="98"/>
      <c r="U17" s="98"/>
      <c r="V17" s="11"/>
      <c r="W17" s="12"/>
    </row>
    <row r="18" ht="15.75" customHeight="1">
      <c r="A18" s="13"/>
      <c r="B18" s="11"/>
      <c r="C18" s="40"/>
      <c r="D18" s="40"/>
      <c r="E18" s="40"/>
      <c r="F18" s="40"/>
      <c r="G18" s="40"/>
      <c r="H18" s="40"/>
      <c r="I18" s="40"/>
      <c r="J18" s="40"/>
      <c r="K18" s="40"/>
      <c r="L18" s="40"/>
      <c r="M18" s="40"/>
      <c r="N18" s="40"/>
      <c r="O18" t="s" s="64">
        <v>26</v>
      </c>
      <c r="P18" s="11"/>
      <c r="Q18" s="11"/>
      <c r="R18" s="11"/>
      <c r="S18" s="11"/>
      <c r="T18" s="11"/>
      <c r="U18" s="11"/>
      <c r="V18" s="11"/>
      <c r="W18" s="12"/>
    </row>
    <row r="19" ht="20.1" customHeight="1">
      <c r="A19" s="13"/>
      <c r="B19" s="50"/>
      <c r="C19" s="65"/>
      <c r="D19" s="109"/>
      <c r="E19" s="109"/>
      <c r="F19" s="109"/>
      <c r="G19" s="109"/>
      <c r="H19" s="109"/>
      <c r="I19" s="109"/>
      <c r="J19" s="109"/>
      <c r="K19" s="109"/>
      <c r="L19" s="109"/>
      <c r="M19" s="109"/>
      <c r="N19" s="109"/>
      <c r="O19" s="110"/>
      <c r="P19" s="47"/>
      <c r="Q19" s="11"/>
      <c r="R19" s="11"/>
      <c r="S19" s="11"/>
      <c r="T19" s="11"/>
      <c r="U19" s="11"/>
      <c r="V19" s="11"/>
      <c r="W19" s="12"/>
    </row>
    <row r="20" ht="15.75" customHeight="1">
      <c r="A20" s="13"/>
      <c r="B20" s="11"/>
      <c r="C20" s="48"/>
      <c r="D20" s="48"/>
      <c r="E20" s="48"/>
      <c r="F20" s="48"/>
      <c r="G20" s="48"/>
      <c r="H20" s="48"/>
      <c r="I20" s="48"/>
      <c r="J20" s="48"/>
      <c r="K20" s="48"/>
      <c r="L20" s="48"/>
      <c r="M20" s="48"/>
      <c r="N20" s="48"/>
      <c r="O20" s="48"/>
      <c r="P20" s="11"/>
      <c r="Q20" s="11"/>
      <c r="R20" s="11"/>
      <c r="S20" s="11"/>
      <c r="T20" s="11"/>
      <c r="U20" s="11"/>
      <c r="V20" s="11"/>
      <c r="W20" s="12"/>
    </row>
    <row r="21" ht="15.75" customHeight="1">
      <c r="A21" t="s" s="95">
        <v>320</v>
      </c>
      <c r="B21" t="s" s="49">
        <v>68</v>
      </c>
      <c r="C21" t="s" s="97">
        <f>CONCATENATE(A21,B21)</f>
        <v>402</v>
      </c>
      <c r="D21" t="s" s="41">
        <v>403</v>
      </c>
      <c r="E21" s="42"/>
      <c r="F21" s="42"/>
      <c r="G21" s="42"/>
      <c r="H21" s="42"/>
      <c r="I21" s="42"/>
      <c r="J21" s="42"/>
      <c r="K21" s="42"/>
      <c r="L21" s="63"/>
      <c r="M21" s="63"/>
      <c r="N21" s="63"/>
      <c r="O21" s="63"/>
      <c r="P21" s="63"/>
      <c r="Q21" s="63"/>
      <c r="R21" s="63"/>
      <c r="S21" s="63"/>
      <c r="T21" s="63"/>
      <c r="U21" s="63"/>
      <c r="V21" s="11"/>
      <c r="W21" s="12"/>
    </row>
    <row r="22" ht="15.75" customHeight="1">
      <c r="A22" s="13"/>
      <c r="B22" s="11"/>
      <c r="C22" s="40"/>
      <c r="D22" s="40"/>
      <c r="E22" s="40"/>
      <c r="F22" s="40"/>
      <c r="G22" s="40"/>
      <c r="H22" s="40"/>
      <c r="I22" s="40"/>
      <c r="J22" s="40"/>
      <c r="K22" s="40"/>
      <c r="L22" s="40"/>
      <c r="M22" s="40"/>
      <c r="N22" s="40"/>
      <c r="O22" t="s" s="64">
        <v>26</v>
      </c>
      <c r="P22" s="11"/>
      <c r="Q22" s="11"/>
      <c r="R22" s="11"/>
      <c r="S22" s="11"/>
      <c r="T22" s="11"/>
      <c r="U22" s="11"/>
      <c r="V22" s="11"/>
      <c r="W22" s="12"/>
    </row>
    <row r="23" ht="20.1" customHeight="1">
      <c r="A23" s="13"/>
      <c r="B23" s="50"/>
      <c r="C23" s="65"/>
      <c r="D23" s="66"/>
      <c r="E23" s="66"/>
      <c r="F23" s="66"/>
      <c r="G23" s="66"/>
      <c r="H23" s="66"/>
      <c r="I23" s="66"/>
      <c r="J23" s="66"/>
      <c r="K23" s="66"/>
      <c r="L23" s="66"/>
      <c r="M23" s="66"/>
      <c r="N23" s="66"/>
      <c r="O23" s="67"/>
      <c r="P23" s="47"/>
      <c r="Q23" s="11"/>
      <c r="R23" s="11"/>
      <c r="S23" s="11"/>
      <c r="T23" s="11"/>
      <c r="U23" s="11"/>
      <c r="V23" s="11"/>
      <c r="W23" s="12"/>
    </row>
    <row r="24" ht="15.75" customHeight="1">
      <c r="A24" s="13"/>
      <c r="B24" s="11"/>
      <c r="C24" s="48"/>
      <c r="D24" s="48"/>
      <c r="E24" s="48"/>
      <c r="F24" s="48"/>
      <c r="G24" s="48"/>
      <c r="H24" s="48"/>
      <c r="I24" s="48"/>
      <c r="J24" s="48"/>
      <c r="K24" s="48"/>
      <c r="L24" s="48"/>
      <c r="M24" s="48"/>
      <c r="N24" s="48"/>
      <c r="O24" s="48"/>
      <c r="P24" s="11"/>
      <c r="Q24" s="11"/>
      <c r="R24" s="11"/>
      <c r="S24" s="11"/>
      <c r="T24" s="11"/>
      <c r="U24" s="11"/>
      <c r="V24" s="11"/>
      <c r="W24" s="12"/>
    </row>
    <row r="25" ht="15.75" customHeight="1">
      <c r="A25" t="s" s="95">
        <v>320</v>
      </c>
      <c r="B25" t="s" s="49">
        <v>70</v>
      </c>
      <c r="C25" t="s" s="97">
        <f>CONCATENATE(A25,B25)</f>
        <v>404</v>
      </c>
      <c r="D25" t="s" s="41">
        <v>405</v>
      </c>
      <c r="E25" s="42"/>
      <c r="F25" s="42"/>
      <c r="G25" s="42"/>
      <c r="H25" s="42"/>
      <c r="I25" s="42"/>
      <c r="J25" s="11"/>
      <c r="K25" s="11"/>
      <c r="L25" s="11"/>
      <c r="M25" s="11"/>
      <c r="N25" s="11"/>
      <c r="O25" s="11"/>
      <c r="P25" s="11"/>
      <c r="Q25" s="11"/>
      <c r="R25" s="11"/>
      <c r="S25" s="11"/>
      <c r="T25" s="11"/>
      <c r="U25" s="11"/>
      <c r="V25" s="11"/>
      <c r="W25" s="12"/>
    </row>
    <row r="26" ht="15.75" customHeight="1">
      <c r="A26" s="13"/>
      <c r="B26" s="11"/>
      <c r="C26" s="40"/>
      <c r="D26" s="40"/>
      <c r="E26" s="40"/>
      <c r="F26" s="40"/>
      <c r="G26" s="40"/>
      <c r="H26" s="40"/>
      <c r="I26" s="40"/>
      <c r="J26" s="40"/>
      <c r="K26" s="40"/>
      <c r="L26" s="40"/>
      <c r="M26" s="40"/>
      <c r="N26" s="40"/>
      <c r="O26" s="40"/>
      <c r="P26" t="s" s="64">
        <v>26</v>
      </c>
      <c r="Q26" s="11"/>
      <c r="R26" s="11"/>
      <c r="S26" s="11"/>
      <c r="T26" s="11"/>
      <c r="U26" s="11"/>
      <c r="V26" s="11"/>
      <c r="W26" s="12"/>
    </row>
    <row r="27" ht="20.1" customHeight="1">
      <c r="A27" s="13"/>
      <c r="B27" s="50"/>
      <c r="C27" s="65"/>
      <c r="D27" s="66"/>
      <c r="E27" s="66"/>
      <c r="F27" s="66"/>
      <c r="G27" s="66"/>
      <c r="H27" s="66"/>
      <c r="I27" s="66"/>
      <c r="J27" s="66"/>
      <c r="K27" s="66"/>
      <c r="L27" s="66"/>
      <c r="M27" s="66"/>
      <c r="N27" s="66"/>
      <c r="O27" s="66"/>
      <c r="P27" s="67"/>
      <c r="Q27" s="47"/>
      <c r="R27" s="11"/>
      <c r="S27" s="11"/>
      <c r="T27" s="11"/>
      <c r="U27" s="11"/>
      <c r="V27" s="11"/>
      <c r="W27" s="12"/>
    </row>
    <row r="28" ht="15.75" customHeight="1">
      <c r="A28" s="13"/>
      <c r="B28" s="11"/>
      <c r="C28" s="48"/>
      <c r="D28" s="48"/>
      <c r="E28" s="48"/>
      <c r="F28" s="48"/>
      <c r="G28" s="48"/>
      <c r="H28" s="48"/>
      <c r="I28" s="48"/>
      <c r="J28" s="48"/>
      <c r="K28" s="48"/>
      <c r="L28" s="48"/>
      <c r="M28" s="48"/>
      <c r="N28" s="48"/>
      <c r="O28" s="48"/>
      <c r="P28" s="48"/>
      <c r="Q28" s="11"/>
      <c r="R28" s="11"/>
      <c r="S28" s="11"/>
      <c r="T28" s="11"/>
      <c r="U28" s="11"/>
      <c r="V28" s="11"/>
      <c r="W28" s="12"/>
    </row>
    <row r="29" ht="15.75" customHeight="1">
      <c r="A29" s="13"/>
      <c r="B29" s="11"/>
      <c r="C29" t="s" s="83">
        <v>406</v>
      </c>
      <c r="D29" s="84"/>
      <c r="E29" s="84"/>
      <c r="F29" s="84"/>
      <c r="G29" s="84"/>
      <c r="H29" s="84"/>
      <c r="I29" s="40"/>
      <c r="J29" s="40"/>
      <c r="K29" s="40"/>
      <c r="L29" s="40"/>
      <c r="M29" s="40"/>
      <c r="N29" s="40"/>
      <c r="O29" s="40"/>
      <c r="P29" s="40"/>
      <c r="Q29" s="40"/>
      <c r="R29" s="40"/>
      <c r="S29" s="40"/>
      <c r="T29" s="40"/>
      <c r="U29" s="40"/>
      <c r="V29" s="11"/>
      <c r="W29" s="12"/>
    </row>
    <row r="30" ht="90" customHeight="1">
      <c r="A30" s="13"/>
      <c r="B30" s="50"/>
      <c r="C30" s="85"/>
      <c r="D30" s="86"/>
      <c r="E30" s="86"/>
      <c r="F30" s="86"/>
      <c r="G30" s="86"/>
      <c r="H30" s="86"/>
      <c r="I30" s="86"/>
      <c r="J30" s="86"/>
      <c r="K30" s="86"/>
      <c r="L30" s="86"/>
      <c r="M30" s="86"/>
      <c r="N30" s="86"/>
      <c r="O30" s="86"/>
      <c r="P30" s="86"/>
      <c r="Q30" s="86"/>
      <c r="R30" s="86"/>
      <c r="S30" s="86"/>
      <c r="T30" s="86"/>
      <c r="U30" s="87"/>
      <c r="V30" s="47"/>
      <c r="W30" s="12"/>
    </row>
    <row r="31" ht="15.75" customHeight="1">
      <c r="A31" s="13"/>
      <c r="B31" s="11"/>
      <c r="C31" s="48"/>
      <c r="D31" s="48"/>
      <c r="E31" s="48"/>
      <c r="F31" s="48"/>
      <c r="G31" s="48"/>
      <c r="H31" s="48"/>
      <c r="I31" s="48"/>
      <c r="J31" s="48"/>
      <c r="K31" s="48"/>
      <c r="L31" s="48"/>
      <c r="M31" s="48"/>
      <c r="N31" s="48"/>
      <c r="O31" s="48"/>
      <c r="P31" s="48"/>
      <c r="Q31" s="48"/>
      <c r="R31" s="48"/>
      <c r="S31" s="48"/>
      <c r="T31" s="48"/>
      <c r="U31" s="48"/>
      <c r="V31" s="11"/>
      <c r="W31" s="12"/>
    </row>
    <row r="32" ht="15.75" customHeight="1">
      <c r="A32" s="13"/>
      <c r="B32" s="11"/>
      <c r="C32" t="s" s="41">
        <v>407</v>
      </c>
      <c r="D32" s="42"/>
      <c r="E32" s="42"/>
      <c r="F32" s="42"/>
      <c r="G32" s="42"/>
      <c r="H32" s="42"/>
      <c r="I32" s="42"/>
      <c r="J32" s="42"/>
      <c r="K32" s="42"/>
      <c r="L32" s="42"/>
      <c r="M32" s="42"/>
      <c r="N32" s="42"/>
      <c r="O32" s="11"/>
      <c r="P32" s="11"/>
      <c r="Q32" s="11"/>
      <c r="R32" s="11"/>
      <c r="S32" s="11"/>
      <c r="T32" s="11"/>
      <c r="U32" s="11"/>
      <c r="V32" s="11"/>
      <c r="W32" s="12"/>
    </row>
    <row r="33" ht="15.75" customHeight="1">
      <c r="A33" t="s" s="95">
        <v>320</v>
      </c>
      <c r="B33" t="s" s="49">
        <v>117</v>
      </c>
      <c r="C33" t="s" s="97">
        <f>CONCATENATE(A33,B33)</f>
        <v>408</v>
      </c>
      <c r="D33" t="s" s="41">
        <v>409</v>
      </c>
      <c r="E33" s="42"/>
      <c r="F33" s="42"/>
      <c r="G33" s="42"/>
      <c r="H33" s="42"/>
      <c r="I33" s="42"/>
      <c r="J33" s="42"/>
      <c r="K33" s="42"/>
      <c r="L33" s="42"/>
      <c r="M33" s="42"/>
      <c r="N33" s="42"/>
      <c r="O33" s="11"/>
      <c r="P33" s="11"/>
      <c r="Q33" s="11"/>
      <c r="R33" s="11"/>
      <c r="S33" s="11"/>
      <c r="T33" s="11"/>
      <c r="U33" s="11"/>
      <c r="V33" s="11"/>
      <c r="W33" s="12"/>
    </row>
    <row r="34" ht="15.75" customHeight="1">
      <c r="A34" s="13"/>
      <c r="B34" s="11"/>
      <c r="C34" s="40"/>
      <c r="D34" s="40"/>
      <c r="E34" s="40"/>
      <c r="F34" s="40"/>
      <c r="G34" s="40"/>
      <c r="H34" s="40"/>
      <c r="I34" s="40"/>
      <c r="J34" s="40"/>
      <c r="K34" s="40"/>
      <c r="L34" s="40"/>
      <c r="M34" s="40"/>
      <c r="N34" s="40"/>
      <c r="O34" t="s" s="64">
        <v>26</v>
      </c>
      <c r="P34" s="11"/>
      <c r="Q34" s="11"/>
      <c r="R34" s="11"/>
      <c r="S34" s="11"/>
      <c r="T34" s="11"/>
      <c r="U34" s="11"/>
      <c r="V34" s="11"/>
      <c r="W34" s="12"/>
    </row>
    <row r="35" ht="20.1" customHeight="1">
      <c r="A35" s="13"/>
      <c r="B35" s="50"/>
      <c r="C35" s="65"/>
      <c r="D35" s="66"/>
      <c r="E35" s="66"/>
      <c r="F35" s="66"/>
      <c r="G35" s="66"/>
      <c r="H35" s="66"/>
      <c r="I35" s="66"/>
      <c r="J35" s="66"/>
      <c r="K35" s="66"/>
      <c r="L35" s="66"/>
      <c r="M35" s="66"/>
      <c r="N35" s="66"/>
      <c r="O35" s="67"/>
      <c r="P35" s="47"/>
      <c r="Q35" s="11"/>
      <c r="R35" s="11"/>
      <c r="S35" s="11"/>
      <c r="T35" s="11"/>
      <c r="U35" s="11"/>
      <c r="V35" s="11"/>
      <c r="W35" s="12"/>
    </row>
    <row r="36" ht="15.75" customHeight="1">
      <c r="A36" s="13"/>
      <c r="B36" s="11"/>
      <c r="C36" s="48"/>
      <c r="D36" s="48"/>
      <c r="E36" s="48"/>
      <c r="F36" s="48"/>
      <c r="G36" s="48"/>
      <c r="H36" s="48"/>
      <c r="I36" s="48"/>
      <c r="J36" s="48"/>
      <c r="K36" s="48"/>
      <c r="L36" s="48"/>
      <c r="M36" s="48"/>
      <c r="N36" s="48"/>
      <c r="O36" s="48"/>
      <c r="P36" s="11"/>
      <c r="Q36" s="11"/>
      <c r="R36" s="11"/>
      <c r="S36" s="11"/>
      <c r="T36" s="11"/>
      <c r="U36" s="11"/>
      <c r="V36" s="11"/>
      <c r="W36" s="12"/>
    </row>
    <row r="37" ht="15.75" customHeight="1">
      <c r="A37" s="13"/>
      <c r="B37" s="11"/>
      <c r="C37" t="s" s="102">
        <v>410</v>
      </c>
      <c r="D37" s="103"/>
      <c r="E37" s="103"/>
      <c r="F37" s="103"/>
      <c r="G37" s="103"/>
      <c r="H37" s="103"/>
      <c r="I37" s="40"/>
      <c r="J37" s="40"/>
      <c r="K37" s="40"/>
      <c r="L37" s="40"/>
      <c r="M37" s="40"/>
      <c r="N37" s="40"/>
      <c r="O37" s="40"/>
      <c r="P37" s="40"/>
      <c r="Q37" s="40"/>
      <c r="R37" s="40"/>
      <c r="S37" s="40"/>
      <c r="T37" s="40"/>
      <c r="U37" s="40"/>
      <c r="V37" s="11"/>
      <c r="W37" s="12"/>
    </row>
    <row r="38" ht="90" customHeight="1">
      <c r="A38" s="13"/>
      <c r="B38" s="50"/>
      <c r="C38" s="85"/>
      <c r="D38" s="86"/>
      <c r="E38" s="86"/>
      <c r="F38" s="86"/>
      <c r="G38" s="86"/>
      <c r="H38" s="86"/>
      <c r="I38" s="86"/>
      <c r="J38" s="86"/>
      <c r="K38" s="86"/>
      <c r="L38" s="86"/>
      <c r="M38" s="86"/>
      <c r="N38" s="86"/>
      <c r="O38" s="86"/>
      <c r="P38" s="86"/>
      <c r="Q38" s="86"/>
      <c r="R38" s="86"/>
      <c r="S38" s="86"/>
      <c r="T38" s="86"/>
      <c r="U38" s="87"/>
      <c r="V38" s="47"/>
      <c r="W38" s="12"/>
    </row>
    <row r="39" ht="15.75" customHeight="1">
      <c r="A39" s="13"/>
      <c r="B39" s="11"/>
      <c r="C39" s="48"/>
      <c r="D39" s="48"/>
      <c r="E39" s="48"/>
      <c r="F39" s="48"/>
      <c r="G39" s="48"/>
      <c r="H39" s="48"/>
      <c r="I39" s="48"/>
      <c r="J39" s="48"/>
      <c r="K39" s="48"/>
      <c r="L39" s="48"/>
      <c r="M39" s="48"/>
      <c r="N39" s="48"/>
      <c r="O39" s="48"/>
      <c r="P39" s="48"/>
      <c r="Q39" s="48"/>
      <c r="R39" s="48"/>
      <c r="S39" s="48"/>
      <c r="T39" s="48"/>
      <c r="U39" s="48"/>
      <c r="V39" s="11"/>
      <c r="W39" s="12"/>
    </row>
    <row r="40" ht="33.75" customHeight="1">
      <c r="A40" t="s" s="95">
        <v>320</v>
      </c>
      <c r="B40" t="s" s="49">
        <v>120</v>
      </c>
      <c r="C40" t="s" s="99">
        <f>CONCATENATE(A40,B40)</f>
        <v>411</v>
      </c>
      <c r="D40" t="s" s="100">
        <v>412</v>
      </c>
      <c r="E40" s="101"/>
      <c r="F40" s="101"/>
      <c r="G40" s="101"/>
      <c r="H40" s="101"/>
      <c r="I40" s="101"/>
      <c r="J40" s="101"/>
      <c r="K40" s="101"/>
      <c r="L40" s="101"/>
      <c r="M40" s="101"/>
      <c r="N40" s="101"/>
      <c r="O40" s="101"/>
      <c r="P40" s="101"/>
      <c r="Q40" s="101"/>
      <c r="R40" s="101"/>
      <c r="S40" s="101"/>
      <c r="T40" s="101"/>
      <c r="U40" s="101"/>
      <c r="V40" s="11"/>
      <c r="W40" s="12"/>
    </row>
    <row r="41" ht="15.75" customHeight="1">
      <c r="A41" s="13"/>
      <c r="B41" s="11"/>
      <c r="C41" s="40"/>
      <c r="D41" s="40"/>
      <c r="E41" s="40"/>
      <c r="F41" s="40"/>
      <c r="G41" s="40"/>
      <c r="H41" s="40"/>
      <c r="I41" s="40"/>
      <c r="J41" s="40"/>
      <c r="K41" s="40"/>
      <c r="L41" s="40"/>
      <c r="M41" s="40"/>
      <c r="N41" s="40"/>
      <c r="O41" s="40"/>
      <c r="P41" s="40"/>
      <c r="Q41" s="40"/>
      <c r="R41" s="40"/>
      <c r="S41" s="40"/>
      <c r="T41" s="40"/>
      <c r="U41" s="40"/>
      <c r="V41" s="11"/>
      <c r="W41" s="12"/>
    </row>
    <row r="42" ht="9.95" customHeight="1">
      <c r="A42" s="13"/>
      <c r="B42" s="50"/>
      <c r="C42" s="71"/>
      <c r="D42" s="119"/>
      <c r="E42" s="119"/>
      <c r="F42" s="119"/>
      <c r="G42" s="119"/>
      <c r="H42" s="119"/>
      <c r="I42" s="119"/>
      <c r="J42" s="119"/>
      <c r="K42" s="69"/>
      <c r="L42" s="69"/>
      <c r="M42" s="69"/>
      <c r="N42" s="69"/>
      <c r="O42" s="69"/>
      <c r="P42" s="69"/>
      <c r="Q42" s="69"/>
      <c r="R42" s="69"/>
      <c r="S42" s="69"/>
      <c r="T42" s="69"/>
      <c r="U42" s="121"/>
      <c r="V42" s="47"/>
      <c r="W42" s="12"/>
    </row>
    <row r="43" ht="24.95" customHeight="1">
      <c r="A43" s="13"/>
      <c r="B43" s="50"/>
      <c r="C43" s="75"/>
      <c r="D43" t="s" s="76">
        <v>413</v>
      </c>
      <c r="E43" s="77"/>
      <c r="F43" s="77"/>
      <c r="G43" s="77"/>
      <c r="H43" s="77"/>
      <c r="I43" s="77"/>
      <c r="J43" s="78"/>
      <c r="K43" s="378"/>
      <c r="L43" s="379"/>
      <c r="M43" s="379"/>
      <c r="N43" s="379"/>
      <c r="O43" s="379"/>
      <c r="P43" s="379"/>
      <c r="Q43" s="379"/>
      <c r="R43" s="379"/>
      <c r="S43" s="379"/>
      <c r="T43" s="380"/>
      <c r="U43" s="104"/>
      <c r="V43" s="47"/>
      <c r="W43" s="12"/>
    </row>
    <row r="44" ht="11.1" customHeight="1">
      <c r="A44" s="13"/>
      <c r="B44" s="50"/>
      <c r="C44" s="75"/>
      <c r="D44" s="112"/>
      <c r="E44" s="112"/>
      <c r="F44" s="112"/>
      <c r="G44" s="112"/>
      <c r="H44" s="112"/>
      <c r="I44" s="112"/>
      <c r="J44" s="112"/>
      <c r="K44" s="69"/>
      <c r="L44" s="69"/>
      <c r="M44" s="69"/>
      <c r="N44" s="69"/>
      <c r="O44" s="69"/>
      <c r="P44" s="69"/>
      <c r="Q44" s="69"/>
      <c r="R44" s="69"/>
      <c r="S44" s="69"/>
      <c r="T44" s="69"/>
      <c r="U44" s="117"/>
      <c r="V44" s="47"/>
      <c r="W44" s="12"/>
    </row>
    <row r="45" ht="25.5" customHeight="1">
      <c r="A45" s="13"/>
      <c r="B45" s="50"/>
      <c r="C45" s="75"/>
      <c r="D45" t="s" s="76">
        <v>414</v>
      </c>
      <c r="E45" s="77"/>
      <c r="F45" s="77"/>
      <c r="G45" s="77"/>
      <c r="H45" s="77"/>
      <c r="I45" s="77"/>
      <c r="J45" s="78"/>
      <c r="K45" s="378"/>
      <c r="L45" s="379"/>
      <c r="M45" s="379"/>
      <c r="N45" s="379"/>
      <c r="O45" s="379"/>
      <c r="P45" s="379"/>
      <c r="Q45" s="379"/>
      <c r="R45" s="379"/>
      <c r="S45" s="379"/>
      <c r="T45" s="380"/>
      <c r="U45" s="104"/>
      <c r="V45" s="47"/>
      <c r="W45" s="12"/>
    </row>
    <row r="46" ht="9.95" customHeight="1">
      <c r="A46" s="13"/>
      <c r="B46" s="50"/>
      <c r="C46" s="75"/>
      <c r="D46" s="112"/>
      <c r="E46" s="112"/>
      <c r="F46" s="112"/>
      <c r="G46" s="112"/>
      <c r="H46" s="112"/>
      <c r="I46" s="112"/>
      <c r="J46" s="112"/>
      <c r="K46" s="69"/>
      <c r="L46" s="69"/>
      <c r="M46" s="69"/>
      <c r="N46" s="69"/>
      <c r="O46" s="69"/>
      <c r="P46" s="69"/>
      <c r="Q46" s="69"/>
      <c r="R46" s="69"/>
      <c r="S46" s="69"/>
      <c r="T46" s="69"/>
      <c r="U46" s="117"/>
      <c r="V46" s="47"/>
      <c r="W46" s="12"/>
    </row>
    <row r="47" ht="25.5" customHeight="1">
      <c r="A47" s="13"/>
      <c r="B47" s="50"/>
      <c r="C47" s="75"/>
      <c r="D47" t="s" s="76">
        <v>415</v>
      </c>
      <c r="E47" s="77"/>
      <c r="F47" s="77"/>
      <c r="G47" s="77"/>
      <c r="H47" s="77"/>
      <c r="I47" s="77"/>
      <c r="J47" s="78"/>
      <c r="K47" s="378"/>
      <c r="L47" s="379"/>
      <c r="M47" s="379"/>
      <c r="N47" s="379"/>
      <c r="O47" s="379"/>
      <c r="P47" s="379"/>
      <c r="Q47" s="379"/>
      <c r="R47" s="379"/>
      <c r="S47" s="379"/>
      <c r="T47" s="380"/>
      <c r="U47" s="104"/>
      <c r="V47" s="47"/>
      <c r="W47" s="12"/>
    </row>
    <row r="48" ht="9.95" customHeight="1">
      <c r="A48" s="13"/>
      <c r="B48" s="50"/>
      <c r="C48" s="75"/>
      <c r="D48" s="112"/>
      <c r="E48" s="112"/>
      <c r="F48" s="112"/>
      <c r="G48" s="112"/>
      <c r="H48" s="112"/>
      <c r="I48" s="112"/>
      <c r="J48" s="112"/>
      <c r="K48" s="69"/>
      <c r="L48" s="69"/>
      <c r="M48" s="69"/>
      <c r="N48" s="69"/>
      <c r="O48" s="69"/>
      <c r="P48" s="69"/>
      <c r="Q48" s="69"/>
      <c r="R48" s="69"/>
      <c r="S48" s="69"/>
      <c r="T48" s="69"/>
      <c r="U48" s="117"/>
      <c r="V48" s="47"/>
      <c r="W48" s="12"/>
    </row>
    <row r="49" ht="25.5" customHeight="1">
      <c r="A49" s="13"/>
      <c r="B49" s="50"/>
      <c r="C49" s="75"/>
      <c r="D49" t="s" s="76">
        <v>416</v>
      </c>
      <c r="E49" s="77"/>
      <c r="F49" s="77"/>
      <c r="G49" s="77"/>
      <c r="H49" s="77"/>
      <c r="I49" s="77"/>
      <c r="J49" s="78"/>
      <c r="K49" s="378"/>
      <c r="L49" s="379"/>
      <c r="M49" s="379"/>
      <c r="N49" s="379"/>
      <c r="O49" s="379"/>
      <c r="P49" s="379"/>
      <c r="Q49" s="379"/>
      <c r="R49" s="379"/>
      <c r="S49" s="379"/>
      <c r="T49" s="380"/>
      <c r="U49" s="104"/>
      <c r="V49" s="47"/>
      <c r="W49" s="12"/>
    </row>
    <row r="50" ht="9.95" customHeight="1">
      <c r="A50" s="13"/>
      <c r="B50" s="50"/>
      <c r="C50" s="75"/>
      <c r="D50" s="112"/>
      <c r="E50" s="112"/>
      <c r="F50" s="112"/>
      <c r="G50" s="112"/>
      <c r="H50" s="112"/>
      <c r="I50" s="112"/>
      <c r="J50" s="112"/>
      <c r="K50" s="69"/>
      <c r="L50" s="69"/>
      <c r="M50" s="69"/>
      <c r="N50" s="69"/>
      <c r="O50" s="69"/>
      <c r="P50" s="69"/>
      <c r="Q50" s="69"/>
      <c r="R50" s="69"/>
      <c r="S50" s="69"/>
      <c r="T50" s="69"/>
      <c r="U50" s="117"/>
      <c r="V50" s="47"/>
      <c r="W50" s="12"/>
    </row>
    <row r="51" ht="24.95" customHeight="1">
      <c r="A51" s="13"/>
      <c r="B51" s="50"/>
      <c r="C51" s="75"/>
      <c r="D51" t="s" s="76">
        <v>417</v>
      </c>
      <c r="E51" s="77"/>
      <c r="F51" s="77"/>
      <c r="G51" s="77"/>
      <c r="H51" s="77"/>
      <c r="I51" s="77"/>
      <c r="J51" s="78"/>
      <c r="K51" s="378"/>
      <c r="L51" s="379"/>
      <c r="M51" s="379"/>
      <c r="N51" s="379"/>
      <c r="O51" s="379"/>
      <c r="P51" s="379"/>
      <c r="Q51" s="379"/>
      <c r="R51" s="379"/>
      <c r="S51" s="379"/>
      <c r="T51" s="380"/>
      <c r="U51" s="104"/>
      <c r="V51" s="47"/>
      <c r="W51" s="12"/>
    </row>
    <row r="52" ht="9.95" customHeight="1">
      <c r="A52" s="13"/>
      <c r="B52" s="50"/>
      <c r="C52" s="75"/>
      <c r="D52" s="112"/>
      <c r="E52" s="112"/>
      <c r="F52" s="112"/>
      <c r="G52" s="112"/>
      <c r="H52" s="112"/>
      <c r="I52" s="112"/>
      <c r="J52" s="112"/>
      <c r="K52" s="69"/>
      <c r="L52" s="69"/>
      <c r="M52" s="69"/>
      <c r="N52" s="69"/>
      <c r="O52" s="69"/>
      <c r="P52" s="69"/>
      <c r="Q52" s="69"/>
      <c r="R52" s="69"/>
      <c r="S52" s="69"/>
      <c r="T52" s="69"/>
      <c r="U52" s="117"/>
      <c r="V52" s="47"/>
      <c r="W52" s="12"/>
    </row>
    <row r="53" ht="25.5" customHeight="1">
      <c r="A53" s="13"/>
      <c r="B53" s="50"/>
      <c r="C53" s="75"/>
      <c r="D53" t="s" s="76">
        <v>418</v>
      </c>
      <c r="E53" s="77"/>
      <c r="F53" s="77"/>
      <c r="G53" s="77"/>
      <c r="H53" s="77"/>
      <c r="I53" s="77"/>
      <c r="J53" s="78"/>
      <c r="K53" s="378"/>
      <c r="L53" s="379"/>
      <c r="M53" s="379"/>
      <c r="N53" s="379"/>
      <c r="O53" s="379"/>
      <c r="P53" s="379"/>
      <c r="Q53" s="379"/>
      <c r="R53" s="379"/>
      <c r="S53" s="379"/>
      <c r="T53" s="380"/>
      <c r="U53" s="104"/>
      <c r="V53" s="47"/>
      <c r="W53" s="12"/>
    </row>
    <row r="54" ht="9.95" customHeight="1">
      <c r="A54" s="13"/>
      <c r="B54" s="50"/>
      <c r="C54" s="75"/>
      <c r="D54" s="112"/>
      <c r="E54" s="112"/>
      <c r="F54" s="112"/>
      <c r="G54" s="112"/>
      <c r="H54" s="112"/>
      <c r="I54" s="112"/>
      <c r="J54" s="112"/>
      <c r="K54" s="119"/>
      <c r="L54" s="119"/>
      <c r="M54" s="119"/>
      <c r="N54" s="119"/>
      <c r="O54" s="119"/>
      <c r="P54" s="119"/>
      <c r="Q54" s="119"/>
      <c r="R54" s="119"/>
      <c r="S54" s="119"/>
      <c r="T54" s="119"/>
      <c r="U54" s="117"/>
      <c r="V54" s="47"/>
      <c r="W54" s="12"/>
    </row>
    <row r="55" ht="25.5" customHeight="1">
      <c r="A55" s="13"/>
      <c r="B55" s="50"/>
      <c r="C55" s="75"/>
      <c r="D55" t="s" s="76">
        <v>59</v>
      </c>
      <c r="E55" s="77"/>
      <c r="F55" s="77"/>
      <c r="G55" s="77"/>
      <c r="H55" s="77"/>
      <c r="I55" s="77"/>
      <c r="J55" s="77"/>
      <c r="K55" s="112"/>
      <c r="L55" s="112"/>
      <c r="M55" s="112"/>
      <c r="N55" s="112"/>
      <c r="O55" s="112"/>
      <c r="P55" s="112"/>
      <c r="Q55" s="112"/>
      <c r="R55" s="112"/>
      <c r="S55" s="112"/>
      <c r="T55" s="112"/>
      <c r="U55" s="117"/>
      <c r="V55" s="47"/>
      <c r="W55" s="12"/>
    </row>
    <row r="56" ht="8" customHeight="1">
      <c r="A56" s="13"/>
      <c r="B56" s="50"/>
      <c r="C56" s="79"/>
      <c r="D56" s="116"/>
      <c r="E56" s="116"/>
      <c r="F56" s="116"/>
      <c r="G56" s="116"/>
      <c r="H56" s="116"/>
      <c r="I56" s="116"/>
      <c r="J56" s="116"/>
      <c r="K56" s="116"/>
      <c r="L56" s="116"/>
      <c r="M56" s="116"/>
      <c r="N56" s="116"/>
      <c r="O56" s="116"/>
      <c r="P56" s="116"/>
      <c r="Q56" s="116"/>
      <c r="R56" s="116"/>
      <c r="S56" s="116"/>
      <c r="T56" s="116"/>
      <c r="U56" s="381"/>
      <c r="V56" s="47"/>
      <c r="W56" s="12"/>
    </row>
    <row r="57" ht="15.75" customHeight="1">
      <c r="A57" s="13"/>
      <c r="B57" s="11"/>
      <c r="C57" s="48"/>
      <c r="D57" s="48"/>
      <c r="E57" s="48"/>
      <c r="F57" s="48"/>
      <c r="G57" s="48"/>
      <c r="H57" s="48"/>
      <c r="I57" s="48"/>
      <c r="J57" s="48"/>
      <c r="K57" s="48"/>
      <c r="L57" s="48"/>
      <c r="M57" s="48"/>
      <c r="N57" s="48"/>
      <c r="O57" s="48"/>
      <c r="P57" s="48"/>
      <c r="Q57" s="48"/>
      <c r="R57" s="48"/>
      <c r="S57" s="48"/>
      <c r="T57" s="48"/>
      <c r="U57" s="48"/>
      <c r="V57" s="11"/>
      <c r="W57" s="12"/>
    </row>
    <row r="58" ht="33.75" customHeight="1">
      <c r="A58" t="s" s="95">
        <v>320</v>
      </c>
      <c r="B58" t="s" s="49">
        <v>419</v>
      </c>
      <c r="C58" t="s" s="99">
        <f>CONCATENATE(A58,B58)</f>
        <v>420</v>
      </c>
      <c r="D58" t="s" s="382">
        <v>421</v>
      </c>
      <c r="E58" s="383"/>
      <c r="F58" s="383"/>
      <c r="G58" s="383"/>
      <c r="H58" s="383"/>
      <c r="I58" s="383"/>
      <c r="J58" s="383"/>
      <c r="K58" s="383"/>
      <c r="L58" s="383"/>
      <c r="M58" s="383"/>
      <c r="N58" s="383"/>
      <c r="O58" s="383"/>
      <c r="P58" s="383"/>
      <c r="Q58" s="383"/>
      <c r="R58" s="383"/>
      <c r="S58" s="383"/>
      <c r="T58" s="383"/>
      <c r="U58" s="383"/>
      <c r="V58" s="11"/>
      <c r="W58" s="12"/>
    </row>
    <row r="59" ht="15.75" customHeight="1">
      <c r="A59" s="13"/>
      <c r="B59" s="11"/>
      <c r="C59" s="40"/>
      <c r="D59" s="40"/>
      <c r="E59" s="40"/>
      <c r="F59" s="40"/>
      <c r="G59" s="40"/>
      <c r="H59" s="40"/>
      <c r="I59" s="40"/>
      <c r="J59" s="40"/>
      <c r="K59" s="40"/>
      <c r="L59" s="40"/>
      <c r="M59" s="40"/>
      <c r="N59" s="40"/>
      <c r="O59" t="s" s="64">
        <v>26</v>
      </c>
      <c r="P59" s="11"/>
      <c r="Q59" s="11"/>
      <c r="R59" s="11"/>
      <c r="S59" s="11"/>
      <c r="T59" s="11"/>
      <c r="U59" s="11"/>
      <c r="V59" s="11"/>
      <c r="W59" s="12"/>
    </row>
    <row r="60" ht="20.1" customHeight="1">
      <c r="A60" s="13"/>
      <c r="B60" s="50"/>
      <c r="C60" s="65"/>
      <c r="D60" s="66"/>
      <c r="E60" s="66"/>
      <c r="F60" s="66"/>
      <c r="G60" s="66"/>
      <c r="H60" s="66"/>
      <c r="I60" s="66"/>
      <c r="J60" s="66"/>
      <c r="K60" s="66"/>
      <c r="L60" s="66"/>
      <c r="M60" s="66"/>
      <c r="N60" s="66"/>
      <c r="O60" s="67"/>
      <c r="P60" s="47"/>
      <c r="Q60" s="11"/>
      <c r="R60" s="11"/>
      <c r="S60" s="11"/>
      <c r="T60" s="11"/>
      <c r="U60" s="11"/>
      <c r="V60" s="11"/>
      <c r="W60" s="12"/>
    </row>
    <row r="61" ht="15.75" customHeight="1">
      <c r="A61" s="13"/>
      <c r="B61" s="11"/>
      <c r="C61" s="48"/>
      <c r="D61" s="48"/>
      <c r="E61" s="48"/>
      <c r="F61" s="48"/>
      <c r="G61" s="48"/>
      <c r="H61" s="48"/>
      <c r="I61" s="48"/>
      <c r="J61" s="48"/>
      <c r="K61" s="48"/>
      <c r="L61" s="48"/>
      <c r="M61" s="48"/>
      <c r="N61" s="48"/>
      <c r="O61" s="48"/>
      <c r="P61" s="11"/>
      <c r="Q61" s="11"/>
      <c r="R61" s="11"/>
      <c r="S61" s="11"/>
      <c r="T61" s="11"/>
      <c r="U61" s="11"/>
      <c r="V61" s="11"/>
      <c r="W61" s="12"/>
    </row>
    <row r="62" ht="15.75" customHeight="1">
      <c r="A62" s="13"/>
      <c r="B62" s="11"/>
      <c r="C62" t="s" s="102">
        <v>410</v>
      </c>
      <c r="D62" s="103"/>
      <c r="E62" s="103"/>
      <c r="F62" s="103"/>
      <c r="G62" s="103"/>
      <c r="H62" s="103"/>
      <c r="I62" s="40"/>
      <c r="J62" s="40"/>
      <c r="K62" s="40"/>
      <c r="L62" s="40"/>
      <c r="M62" s="40"/>
      <c r="N62" s="40"/>
      <c r="O62" s="40"/>
      <c r="P62" s="40"/>
      <c r="Q62" s="40"/>
      <c r="R62" s="40"/>
      <c r="S62" s="40"/>
      <c r="T62" s="40"/>
      <c r="U62" s="40"/>
      <c r="V62" s="11"/>
      <c r="W62" s="12"/>
    </row>
    <row r="63" ht="90" customHeight="1">
      <c r="A63" s="13"/>
      <c r="B63" s="50"/>
      <c r="C63" s="85"/>
      <c r="D63" s="86"/>
      <c r="E63" s="86"/>
      <c r="F63" s="86"/>
      <c r="G63" s="86"/>
      <c r="H63" s="86"/>
      <c r="I63" s="86"/>
      <c r="J63" s="86"/>
      <c r="K63" s="86"/>
      <c r="L63" s="86"/>
      <c r="M63" s="86"/>
      <c r="N63" s="86"/>
      <c r="O63" s="86"/>
      <c r="P63" s="86"/>
      <c r="Q63" s="86"/>
      <c r="R63" s="86"/>
      <c r="S63" s="86"/>
      <c r="T63" s="86"/>
      <c r="U63" s="87"/>
      <c r="V63" s="47"/>
      <c r="W63" s="12"/>
    </row>
    <row r="64" ht="15.75" customHeight="1">
      <c r="A64" s="13"/>
      <c r="B64" s="11"/>
      <c r="C64" s="48"/>
      <c r="D64" s="48"/>
      <c r="E64" s="48"/>
      <c r="F64" s="48"/>
      <c r="G64" s="48"/>
      <c r="H64" s="48"/>
      <c r="I64" s="48"/>
      <c r="J64" s="48"/>
      <c r="K64" s="48"/>
      <c r="L64" s="48"/>
      <c r="M64" s="48"/>
      <c r="N64" s="48"/>
      <c r="O64" s="48"/>
      <c r="P64" s="48"/>
      <c r="Q64" s="48"/>
      <c r="R64" s="48"/>
      <c r="S64" s="48"/>
      <c r="T64" s="48"/>
      <c r="U64" s="48"/>
      <c r="V64" s="11"/>
      <c r="W64" s="12"/>
    </row>
    <row r="65" ht="15.75" customHeight="1">
      <c r="A65" t="s" s="95">
        <v>320</v>
      </c>
      <c r="B65" s="96">
        <v>2</v>
      </c>
      <c r="C65" t="s" s="97">
        <f>CONCATENATE(A65,B65)</f>
        <v>323</v>
      </c>
      <c r="D65" t="s" s="41">
        <v>422</v>
      </c>
      <c r="E65" s="42"/>
      <c r="F65" s="42"/>
      <c r="G65" s="42"/>
      <c r="H65" s="42"/>
      <c r="I65" s="11"/>
      <c r="J65" s="11"/>
      <c r="K65" s="11"/>
      <c r="L65" s="11"/>
      <c r="M65" s="11"/>
      <c r="N65" s="11"/>
      <c r="O65" s="11"/>
      <c r="P65" s="11"/>
      <c r="Q65" s="11"/>
      <c r="R65" s="11"/>
      <c r="S65" s="11"/>
      <c r="T65" s="11"/>
      <c r="U65" s="11"/>
      <c r="V65" s="11"/>
      <c r="W65" s="12"/>
    </row>
    <row r="66" ht="15.75" customHeight="1">
      <c r="A66" s="13"/>
      <c r="B66" s="11"/>
      <c r="C66" s="11"/>
      <c r="D66" s="11"/>
      <c r="E66" s="11"/>
      <c r="F66" s="11"/>
      <c r="G66" s="11"/>
      <c r="H66" s="11"/>
      <c r="I66" s="11"/>
      <c r="J66" s="11"/>
      <c r="K66" s="11"/>
      <c r="L66" s="11"/>
      <c r="M66" s="11"/>
      <c r="N66" s="11"/>
      <c r="O66" s="11"/>
      <c r="P66" s="11"/>
      <c r="Q66" s="11"/>
      <c r="R66" s="11"/>
      <c r="S66" s="11"/>
      <c r="T66" s="11"/>
      <c r="U66" s="11"/>
      <c r="V66" s="11"/>
      <c r="W66" s="12"/>
    </row>
    <row r="67" ht="50.1" customHeight="1">
      <c r="A67" s="13"/>
      <c r="B67" s="11"/>
      <c r="C67" t="s" s="384">
        <v>423</v>
      </c>
      <c r="D67" s="385"/>
      <c r="E67" s="385"/>
      <c r="F67" s="385"/>
      <c r="G67" s="385"/>
      <c r="H67" s="385"/>
      <c r="I67" s="385"/>
      <c r="J67" s="385"/>
      <c r="K67" s="385"/>
      <c r="L67" s="385"/>
      <c r="M67" s="385"/>
      <c r="N67" s="385"/>
      <c r="O67" s="385"/>
      <c r="P67" s="385"/>
      <c r="Q67" s="385"/>
      <c r="R67" s="385"/>
      <c r="S67" s="385"/>
      <c r="T67" s="385"/>
      <c r="U67" s="385"/>
      <c r="V67" s="11"/>
      <c r="W67" s="12"/>
    </row>
    <row r="68" ht="15.75" customHeight="1">
      <c r="A68" s="386"/>
      <c r="B68" s="295"/>
      <c r="C68" s="14"/>
      <c r="D68" s="14"/>
      <c r="E68" s="14"/>
      <c r="F68" s="14"/>
      <c r="G68" s="14"/>
      <c r="H68" s="14"/>
      <c r="I68" s="14"/>
      <c r="J68" s="14"/>
      <c r="K68" s="14"/>
      <c r="L68" s="14"/>
      <c r="M68" s="14"/>
      <c r="N68" s="14"/>
      <c r="O68" s="14"/>
      <c r="P68" s="14"/>
      <c r="Q68" s="14"/>
      <c r="R68" s="14"/>
      <c r="S68" s="14"/>
      <c r="T68" s="14"/>
      <c r="U68" s="14"/>
      <c r="V68" s="11"/>
      <c r="W68" s="12"/>
    </row>
    <row r="69" ht="33.95" customHeight="1">
      <c r="A69" s="386"/>
      <c r="B69" s="387"/>
      <c r="C69" t="s" s="183">
        <v>107</v>
      </c>
      <c r="D69" s="184"/>
      <c r="E69" s="184"/>
      <c r="F69" s="184"/>
      <c r="G69" s="184"/>
      <c r="H69" s="184"/>
      <c r="I69" s="185"/>
      <c r="J69" t="s" s="186">
        <v>108</v>
      </c>
      <c r="K69" s="388"/>
      <c r="L69" s="187"/>
      <c r="M69" t="s" s="188">
        <v>109</v>
      </c>
      <c r="N69" s="389"/>
      <c r="O69" s="189"/>
      <c r="P69" t="s" s="190">
        <v>424</v>
      </c>
      <c r="Q69" s="390"/>
      <c r="R69" s="191"/>
      <c r="S69" t="s" s="260">
        <v>425</v>
      </c>
      <c r="T69" s="261"/>
      <c r="U69" s="391"/>
      <c r="V69" s="19"/>
      <c r="W69" s="12"/>
    </row>
    <row r="70" ht="26.1" customHeight="1">
      <c r="A70" s="13"/>
      <c r="B70" s="15"/>
      <c r="C70" t="s" s="392">
        <v>426</v>
      </c>
      <c r="D70" s="199"/>
      <c r="E70" s="199"/>
      <c r="F70" s="199"/>
      <c r="G70" s="199"/>
      <c r="H70" s="199"/>
      <c r="I70" s="200"/>
      <c r="J70" s="201"/>
      <c r="K70" s="277"/>
      <c r="L70" s="202"/>
      <c r="M70" s="201"/>
      <c r="N70" s="277"/>
      <c r="O70" s="202"/>
      <c r="P70" s="201"/>
      <c r="Q70" s="277"/>
      <c r="R70" s="202"/>
      <c r="S70" s="201"/>
      <c r="T70" s="277"/>
      <c r="U70" s="202"/>
      <c r="V70" s="19"/>
      <c r="W70" s="12"/>
    </row>
    <row r="71" ht="26.1" customHeight="1">
      <c r="A71" s="13"/>
      <c r="B71" s="15"/>
      <c r="C71" t="s" s="392">
        <v>427</v>
      </c>
      <c r="D71" s="199"/>
      <c r="E71" s="199"/>
      <c r="F71" s="199"/>
      <c r="G71" s="199"/>
      <c r="H71" s="199"/>
      <c r="I71" s="200"/>
      <c r="J71" s="201"/>
      <c r="K71" s="277"/>
      <c r="L71" s="202"/>
      <c r="M71" s="201"/>
      <c r="N71" s="277"/>
      <c r="O71" s="202"/>
      <c r="P71" s="201"/>
      <c r="Q71" s="277"/>
      <c r="R71" s="202"/>
      <c r="S71" s="201"/>
      <c r="T71" s="277"/>
      <c r="U71" s="202"/>
      <c r="V71" s="19"/>
      <c r="W71" s="12"/>
    </row>
    <row r="72" ht="26.1" customHeight="1">
      <c r="A72" s="13"/>
      <c r="B72" s="15"/>
      <c r="C72" t="s" s="392">
        <v>428</v>
      </c>
      <c r="D72" s="199"/>
      <c r="E72" s="199"/>
      <c r="F72" s="199"/>
      <c r="G72" s="199"/>
      <c r="H72" s="199"/>
      <c r="I72" s="200"/>
      <c r="J72" s="201"/>
      <c r="K72" s="277"/>
      <c r="L72" s="202"/>
      <c r="M72" s="201"/>
      <c r="N72" s="277"/>
      <c r="O72" s="202"/>
      <c r="P72" s="201"/>
      <c r="Q72" s="277"/>
      <c r="R72" s="202"/>
      <c r="S72" s="201"/>
      <c r="T72" s="277"/>
      <c r="U72" s="202"/>
      <c r="V72" s="19"/>
      <c r="W72" s="12"/>
    </row>
    <row r="73" ht="33.95" customHeight="1">
      <c r="A73" s="13"/>
      <c r="B73" s="15"/>
      <c r="C73" t="s" s="392">
        <v>429</v>
      </c>
      <c r="D73" s="199"/>
      <c r="E73" s="199"/>
      <c r="F73" s="199"/>
      <c r="G73" s="199"/>
      <c r="H73" s="199"/>
      <c r="I73" s="200"/>
      <c r="J73" s="201"/>
      <c r="K73" s="277"/>
      <c r="L73" s="202"/>
      <c r="M73" s="201"/>
      <c r="N73" s="277"/>
      <c r="O73" s="202"/>
      <c r="P73" s="201"/>
      <c r="Q73" s="277"/>
      <c r="R73" s="202"/>
      <c r="S73" s="201"/>
      <c r="T73" s="277"/>
      <c r="U73" s="202"/>
      <c r="V73" s="19"/>
      <c r="W73" s="12"/>
    </row>
    <row r="74" ht="26.1" customHeight="1">
      <c r="A74" s="13"/>
      <c r="B74" s="15"/>
      <c r="C74" t="s" s="392">
        <v>430</v>
      </c>
      <c r="D74" s="199"/>
      <c r="E74" s="199"/>
      <c r="F74" s="199"/>
      <c r="G74" s="199"/>
      <c r="H74" s="199"/>
      <c r="I74" s="200"/>
      <c r="J74" s="201"/>
      <c r="K74" s="277"/>
      <c r="L74" s="202"/>
      <c r="M74" s="201"/>
      <c r="N74" s="277"/>
      <c r="O74" s="202"/>
      <c r="P74" s="201"/>
      <c r="Q74" s="277"/>
      <c r="R74" s="202"/>
      <c r="S74" s="201"/>
      <c r="T74" s="277"/>
      <c r="U74" s="202"/>
      <c r="V74" s="19"/>
      <c r="W74" s="12"/>
    </row>
    <row r="75" ht="26.1" customHeight="1">
      <c r="A75" s="13"/>
      <c r="B75" s="15"/>
      <c r="C75" t="s" s="392">
        <v>431</v>
      </c>
      <c r="D75" s="199"/>
      <c r="E75" s="199"/>
      <c r="F75" s="199"/>
      <c r="G75" s="199"/>
      <c r="H75" s="199"/>
      <c r="I75" s="200"/>
      <c r="J75" s="201"/>
      <c r="K75" s="277"/>
      <c r="L75" s="202"/>
      <c r="M75" s="201"/>
      <c r="N75" s="277"/>
      <c r="O75" s="202"/>
      <c r="P75" s="201"/>
      <c r="Q75" s="277"/>
      <c r="R75" s="202"/>
      <c r="S75" s="201"/>
      <c r="T75" s="277"/>
      <c r="U75" s="202"/>
      <c r="V75" s="19"/>
      <c r="W75" s="12"/>
    </row>
    <row r="76" ht="26.1" customHeight="1">
      <c r="A76" s="13"/>
      <c r="B76" s="15"/>
      <c r="C76" t="s" s="392">
        <v>432</v>
      </c>
      <c r="D76" s="199"/>
      <c r="E76" s="199"/>
      <c r="F76" s="199"/>
      <c r="G76" s="199"/>
      <c r="H76" s="199"/>
      <c r="I76" s="200"/>
      <c r="J76" s="201"/>
      <c r="K76" s="277"/>
      <c r="L76" s="202"/>
      <c r="M76" s="201"/>
      <c r="N76" s="277"/>
      <c r="O76" s="202"/>
      <c r="P76" s="201"/>
      <c r="Q76" s="277"/>
      <c r="R76" s="202"/>
      <c r="S76" s="201"/>
      <c r="T76" s="277"/>
      <c r="U76" s="202"/>
      <c r="V76" s="19"/>
      <c r="W76" s="12"/>
    </row>
    <row r="77" ht="15" customHeight="1">
      <c r="A77" s="13"/>
      <c r="B77" s="11"/>
      <c r="C77" s="393"/>
      <c r="D77" s="393"/>
      <c r="E77" s="393"/>
      <c r="F77" s="393"/>
      <c r="G77" s="393"/>
      <c r="H77" s="393"/>
      <c r="I77" s="393"/>
      <c r="J77" s="393"/>
      <c r="K77" s="35"/>
      <c r="L77" s="35"/>
      <c r="M77" s="35"/>
      <c r="N77" s="35"/>
      <c r="O77" s="35"/>
      <c r="P77" s="35"/>
      <c r="Q77" s="35"/>
      <c r="R77" s="35"/>
      <c r="S77" s="35"/>
      <c r="T77" s="35"/>
      <c r="U77" s="35"/>
      <c r="V77" s="11"/>
      <c r="W77" s="12"/>
    </row>
    <row r="78" ht="15" customHeight="1">
      <c r="A78" s="13"/>
      <c r="B78" s="11"/>
      <c r="C78" t="s" s="394">
        <v>410</v>
      </c>
      <c r="D78" s="395"/>
      <c r="E78" s="395"/>
      <c r="F78" s="395"/>
      <c r="G78" s="395"/>
      <c r="H78" s="395"/>
      <c r="I78" s="396"/>
      <c r="J78" s="396"/>
      <c r="K78" s="40"/>
      <c r="L78" s="40"/>
      <c r="M78" s="40"/>
      <c r="N78" s="40"/>
      <c r="O78" s="40"/>
      <c r="P78" s="40"/>
      <c r="Q78" s="40"/>
      <c r="R78" s="40"/>
      <c r="S78" s="40"/>
      <c r="T78" s="40"/>
      <c r="U78" s="40"/>
      <c r="V78" s="11"/>
      <c r="W78" s="12"/>
    </row>
    <row r="79" ht="90" customHeight="1">
      <c r="A79" s="13"/>
      <c r="B79" s="50"/>
      <c r="C79" s="85"/>
      <c r="D79" s="86"/>
      <c r="E79" s="86"/>
      <c r="F79" s="86"/>
      <c r="G79" s="86"/>
      <c r="H79" s="86"/>
      <c r="I79" s="86"/>
      <c r="J79" s="86"/>
      <c r="K79" s="86"/>
      <c r="L79" s="86"/>
      <c r="M79" s="86"/>
      <c r="N79" s="86"/>
      <c r="O79" s="86"/>
      <c r="P79" s="86"/>
      <c r="Q79" s="86"/>
      <c r="R79" s="86"/>
      <c r="S79" s="86"/>
      <c r="T79" s="86"/>
      <c r="U79" s="87"/>
      <c r="V79" s="47"/>
      <c r="W79" s="12"/>
    </row>
    <row r="80" ht="15.75" customHeight="1">
      <c r="A80" s="13"/>
      <c r="B80" s="11"/>
      <c r="C80" s="48"/>
      <c r="D80" s="48"/>
      <c r="E80" s="48"/>
      <c r="F80" s="48"/>
      <c r="G80" s="48"/>
      <c r="H80" s="48"/>
      <c r="I80" s="48"/>
      <c r="J80" s="48"/>
      <c r="K80" s="48"/>
      <c r="L80" s="48"/>
      <c r="M80" s="48"/>
      <c r="N80" s="48"/>
      <c r="O80" s="48"/>
      <c r="P80" s="48"/>
      <c r="Q80" s="48"/>
      <c r="R80" s="48"/>
      <c r="S80" s="48"/>
      <c r="T80" s="48"/>
      <c r="U80" s="48"/>
      <c r="V80" s="11"/>
      <c r="W80" s="12"/>
    </row>
    <row r="81" ht="37.5" customHeight="1">
      <c r="A81" s="13"/>
      <c r="B81" s="11"/>
      <c r="C81" t="s" s="397">
        <v>433</v>
      </c>
      <c r="D81" s="398"/>
      <c r="E81" t="s" s="399">
        <v>434</v>
      </c>
      <c r="F81" s="400"/>
      <c r="G81" s="400"/>
      <c r="H81" s="400"/>
      <c r="I81" s="400"/>
      <c r="J81" s="400"/>
      <c r="K81" s="400"/>
      <c r="L81" s="400"/>
      <c r="M81" s="400"/>
      <c r="N81" s="400"/>
      <c r="O81" s="400"/>
      <c r="P81" s="400"/>
      <c r="Q81" s="400"/>
      <c r="R81" s="400"/>
      <c r="S81" s="400"/>
      <c r="T81" s="400"/>
      <c r="U81" s="400"/>
      <c r="V81" s="11"/>
      <c r="W81" s="12"/>
    </row>
    <row r="82" ht="15.75" customHeight="1">
      <c r="A82" s="13"/>
      <c r="B82" s="11"/>
      <c r="C82" s="11"/>
      <c r="D82" s="11"/>
      <c r="E82" s="11"/>
      <c r="F82" s="11"/>
      <c r="G82" s="11"/>
      <c r="H82" s="11"/>
      <c r="I82" s="11"/>
      <c r="J82" s="11"/>
      <c r="K82" s="11"/>
      <c r="L82" s="11"/>
      <c r="M82" s="11"/>
      <c r="N82" s="11"/>
      <c r="O82" s="11"/>
      <c r="P82" s="11"/>
      <c r="Q82" s="11"/>
      <c r="R82" s="11"/>
      <c r="S82" s="11"/>
      <c r="T82" s="11"/>
      <c r="U82" s="11"/>
      <c r="V82" s="11"/>
      <c r="W82" s="12"/>
    </row>
    <row r="83" ht="15.75" customHeight="1">
      <c r="A83" t="s" s="95">
        <v>435</v>
      </c>
      <c r="B83" s="96">
        <v>1</v>
      </c>
      <c r="C83" t="s" s="97">
        <f>CONCATENATE(A83,B83)</f>
        <v>436</v>
      </c>
      <c r="D83" t="s" s="97">
        <v>437</v>
      </c>
      <c r="E83" s="11"/>
      <c r="F83" s="11"/>
      <c r="G83" s="11"/>
      <c r="H83" s="11"/>
      <c r="I83" s="11"/>
      <c r="J83" s="11"/>
      <c r="K83" s="11"/>
      <c r="L83" s="11"/>
      <c r="M83" s="11"/>
      <c r="N83" s="11"/>
      <c r="O83" s="11"/>
      <c r="P83" s="11"/>
      <c r="Q83" s="11"/>
      <c r="R83" s="11"/>
      <c r="S83" s="11"/>
      <c r="T83" s="11"/>
      <c r="U83" s="11"/>
      <c r="V83" s="11"/>
      <c r="W83" s="12"/>
    </row>
    <row r="84" ht="15.75" customHeight="1">
      <c r="A84" s="13"/>
      <c r="B84" s="11"/>
      <c r="C84" s="11"/>
      <c r="D84" s="11"/>
      <c r="E84" s="11"/>
      <c r="F84" s="11"/>
      <c r="G84" s="11"/>
      <c r="H84" s="11"/>
      <c r="I84" s="11"/>
      <c r="J84" s="11"/>
      <c r="K84" s="11"/>
      <c r="L84" s="11"/>
      <c r="M84" s="11"/>
      <c r="N84" s="11"/>
      <c r="O84" s="11"/>
      <c r="P84" s="11"/>
      <c r="Q84" s="11"/>
      <c r="R84" s="11"/>
      <c r="S84" s="11"/>
      <c r="T84" s="11"/>
      <c r="U84" s="11"/>
      <c r="V84" s="11"/>
      <c r="W84" s="12"/>
    </row>
    <row r="85" ht="15.75" customHeight="1">
      <c r="A85" t="s" s="95">
        <v>435</v>
      </c>
      <c r="B85" t="s" s="49">
        <v>54</v>
      </c>
      <c r="C85" t="s" s="97">
        <f>CONCATENATE(A85,B85)</f>
        <v>438</v>
      </c>
      <c r="D85" t="s" s="41">
        <v>439</v>
      </c>
      <c r="E85" s="42"/>
      <c r="F85" s="42"/>
      <c r="G85" s="42"/>
      <c r="H85" s="42"/>
      <c r="I85" s="42"/>
      <c r="J85" s="42"/>
      <c r="K85" s="42"/>
      <c r="L85" s="42"/>
      <c r="M85" s="11"/>
      <c r="N85" s="11"/>
      <c r="O85" s="11"/>
      <c r="P85" s="11"/>
      <c r="Q85" s="11"/>
      <c r="R85" s="11"/>
      <c r="S85" s="11"/>
      <c r="T85" s="11"/>
      <c r="U85" s="11"/>
      <c r="V85" s="11"/>
      <c r="W85" s="12"/>
    </row>
    <row r="86" ht="15.75" customHeight="1">
      <c r="A86" s="13"/>
      <c r="B86" s="11"/>
      <c r="C86" s="40"/>
      <c r="D86" s="40"/>
      <c r="E86" s="40"/>
      <c r="F86" s="40"/>
      <c r="G86" s="40"/>
      <c r="H86" s="40"/>
      <c r="I86" s="40"/>
      <c r="J86" s="40"/>
      <c r="K86" s="40"/>
      <c r="L86" s="40"/>
      <c r="M86" s="40"/>
      <c r="N86" s="40"/>
      <c r="O86" s="40"/>
      <c r="P86" s="40"/>
      <c r="Q86" s="40"/>
      <c r="R86" s="40"/>
      <c r="S86" s="40"/>
      <c r="T86" s="40"/>
      <c r="U86" s="40"/>
      <c r="V86" s="11"/>
      <c r="W86" s="12"/>
    </row>
    <row r="87" ht="9.95" customHeight="1">
      <c r="A87" s="13"/>
      <c r="B87" s="50"/>
      <c r="C87" s="71"/>
      <c r="D87" s="119"/>
      <c r="E87" s="119"/>
      <c r="F87" s="119"/>
      <c r="G87" s="119"/>
      <c r="H87" s="119"/>
      <c r="I87" s="119"/>
      <c r="J87" s="119"/>
      <c r="K87" s="69"/>
      <c r="L87" s="69"/>
      <c r="M87" s="69"/>
      <c r="N87" s="69"/>
      <c r="O87" s="69"/>
      <c r="P87" s="69"/>
      <c r="Q87" s="69"/>
      <c r="R87" s="69"/>
      <c r="S87" s="69"/>
      <c r="T87" s="69"/>
      <c r="U87" s="121"/>
      <c r="V87" s="47"/>
      <c r="W87" s="12"/>
    </row>
    <row r="88" ht="33.95" customHeight="1">
      <c r="A88" s="13"/>
      <c r="B88" s="50"/>
      <c r="C88" s="75"/>
      <c r="D88" t="s" s="241">
        <v>440</v>
      </c>
      <c r="E88" s="242"/>
      <c r="F88" s="242"/>
      <c r="G88" s="242"/>
      <c r="H88" s="242"/>
      <c r="I88" s="242"/>
      <c r="J88" s="401"/>
      <c r="K88" s="105"/>
      <c r="L88" s="106"/>
      <c r="M88" s="106"/>
      <c r="N88" s="106"/>
      <c r="O88" s="106"/>
      <c r="P88" s="106"/>
      <c r="Q88" s="106"/>
      <c r="R88" s="106"/>
      <c r="S88" s="106"/>
      <c r="T88" s="107"/>
      <c r="U88" s="104"/>
      <c r="V88" s="47"/>
      <c r="W88" s="12"/>
    </row>
    <row r="89" ht="11.1" customHeight="1">
      <c r="A89" s="13"/>
      <c r="B89" s="50"/>
      <c r="C89" s="75"/>
      <c r="D89" s="112"/>
      <c r="E89" s="112"/>
      <c r="F89" s="112"/>
      <c r="G89" s="112"/>
      <c r="H89" s="112"/>
      <c r="I89" s="112"/>
      <c r="J89" s="112"/>
      <c r="K89" s="69"/>
      <c r="L89" s="69"/>
      <c r="M89" s="69"/>
      <c r="N89" s="69"/>
      <c r="O89" s="69"/>
      <c r="P89" s="69"/>
      <c r="Q89" s="69"/>
      <c r="R89" s="69"/>
      <c r="S89" s="69"/>
      <c r="T89" s="69"/>
      <c r="U89" s="117"/>
      <c r="V89" s="47"/>
      <c r="W89" s="12"/>
    </row>
    <row r="90" ht="25.5" customHeight="1">
      <c r="A90" s="13"/>
      <c r="B90" s="50"/>
      <c r="C90" s="75"/>
      <c r="D90" t="s" s="76">
        <v>441</v>
      </c>
      <c r="E90" s="77"/>
      <c r="F90" s="77"/>
      <c r="G90" s="77"/>
      <c r="H90" s="77"/>
      <c r="I90" s="77"/>
      <c r="J90" s="78"/>
      <c r="K90" s="105"/>
      <c r="L90" s="106"/>
      <c r="M90" s="106"/>
      <c r="N90" s="106"/>
      <c r="O90" s="106"/>
      <c r="P90" s="106"/>
      <c r="Q90" s="106"/>
      <c r="R90" s="106"/>
      <c r="S90" s="106"/>
      <c r="T90" s="107"/>
      <c r="U90" s="104"/>
      <c r="V90" s="47"/>
      <c r="W90" s="12"/>
    </row>
    <row r="91" ht="9.95" customHeight="1">
      <c r="A91" s="13"/>
      <c r="B91" s="50"/>
      <c r="C91" s="75"/>
      <c r="D91" s="112"/>
      <c r="E91" s="112"/>
      <c r="F91" s="112"/>
      <c r="G91" s="112"/>
      <c r="H91" s="112"/>
      <c r="I91" s="112"/>
      <c r="J91" s="112"/>
      <c r="K91" s="69"/>
      <c r="L91" s="69"/>
      <c r="M91" s="69"/>
      <c r="N91" s="69"/>
      <c r="O91" s="69"/>
      <c r="P91" s="69"/>
      <c r="Q91" s="69"/>
      <c r="R91" s="69"/>
      <c r="S91" s="69"/>
      <c r="T91" s="69"/>
      <c r="U91" s="117"/>
      <c r="V91" s="47"/>
      <c r="W91" s="12"/>
    </row>
    <row r="92" ht="33.95" customHeight="1">
      <c r="A92" s="13"/>
      <c r="B92" s="50"/>
      <c r="C92" s="75"/>
      <c r="D92" t="s" s="241">
        <v>442</v>
      </c>
      <c r="E92" s="242"/>
      <c r="F92" s="242"/>
      <c r="G92" s="242"/>
      <c r="H92" s="242"/>
      <c r="I92" s="242"/>
      <c r="J92" s="401"/>
      <c r="K92" s="105"/>
      <c r="L92" s="106"/>
      <c r="M92" s="106"/>
      <c r="N92" s="106"/>
      <c r="O92" s="106"/>
      <c r="P92" s="106"/>
      <c r="Q92" s="106"/>
      <c r="R92" s="106"/>
      <c r="S92" s="106"/>
      <c r="T92" s="107"/>
      <c r="U92" s="104"/>
      <c r="V92" s="47"/>
      <c r="W92" s="12"/>
    </row>
    <row r="93" ht="9.95" customHeight="1">
      <c r="A93" s="13"/>
      <c r="B93" s="50"/>
      <c r="C93" s="75"/>
      <c r="D93" s="112"/>
      <c r="E93" s="112"/>
      <c r="F93" s="112"/>
      <c r="G93" s="112"/>
      <c r="H93" s="112"/>
      <c r="I93" s="112"/>
      <c r="J93" s="112"/>
      <c r="K93" s="69"/>
      <c r="L93" s="69"/>
      <c r="M93" s="69"/>
      <c r="N93" s="69"/>
      <c r="O93" s="69"/>
      <c r="P93" s="69"/>
      <c r="Q93" s="69"/>
      <c r="R93" s="69"/>
      <c r="S93" s="69"/>
      <c r="T93" s="69"/>
      <c r="U93" s="117"/>
      <c r="V93" s="47"/>
      <c r="W93" s="12"/>
    </row>
    <row r="94" ht="25.5" customHeight="1">
      <c r="A94" s="13"/>
      <c r="B94" s="50"/>
      <c r="C94" s="75"/>
      <c r="D94" t="s" s="76">
        <v>443</v>
      </c>
      <c r="E94" s="77"/>
      <c r="F94" s="77"/>
      <c r="G94" s="77"/>
      <c r="H94" s="77"/>
      <c r="I94" s="77"/>
      <c r="J94" s="78"/>
      <c r="K94" s="105"/>
      <c r="L94" s="106"/>
      <c r="M94" s="106"/>
      <c r="N94" s="106"/>
      <c r="O94" s="106"/>
      <c r="P94" s="106"/>
      <c r="Q94" s="106"/>
      <c r="R94" s="106"/>
      <c r="S94" s="106"/>
      <c r="T94" s="107"/>
      <c r="U94" s="104"/>
      <c r="V94" s="47"/>
      <c r="W94" s="12"/>
    </row>
    <row r="95" ht="9.95" customHeight="1">
      <c r="A95" s="13"/>
      <c r="B95" s="50"/>
      <c r="C95" s="75"/>
      <c r="D95" s="112"/>
      <c r="E95" s="112"/>
      <c r="F95" s="112"/>
      <c r="G95" s="112"/>
      <c r="H95" s="112"/>
      <c r="I95" s="112"/>
      <c r="J95" s="112"/>
      <c r="K95" s="69"/>
      <c r="L95" s="69"/>
      <c r="M95" s="69"/>
      <c r="N95" s="69"/>
      <c r="O95" s="69"/>
      <c r="P95" s="69"/>
      <c r="Q95" s="69"/>
      <c r="R95" s="69"/>
      <c r="S95" s="69"/>
      <c r="T95" s="69"/>
      <c r="U95" s="117"/>
      <c r="V95" s="47"/>
      <c r="W95" s="12"/>
    </row>
    <row r="96" ht="24.95" customHeight="1">
      <c r="A96" s="13"/>
      <c r="B96" s="50"/>
      <c r="C96" s="75"/>
      <c r="D96" t="s" s="76">
        <v>444</v>
      </c>
      <c r="E96" s="77"/>
      <c r="F96" s="77"/>
      <c r="G96" s="77"/>
      <c r="H96" s="77"/>
      <c r="I96" s="77"/>
      <c r="J96" s="78"/>
      <c r="K96" s="105"/>
      <c r="L96" s="106"/>
      <c r="M96" s="106"/>
      <c r="N96" s="106"/>
      <c r="O96" s="106"/>
      <c r="P96" s="106"/>
      <c r="Q96" s="106"/>
      <c r="R96" s="106"/>
      <c r="S96" s="106"/>
      <c r="T96" s="107"/>
      <c r="U96" s="104"/>
      <c r="V96" s="47"/>
      <c r="W96" s="12"/>
    </row>
    <row r="97" ht="9.95" customHeight="1">
      <c r="A97" s="13"/>
      <c r="B97" s="50"/>
      <c r="C97" s="75"/>
      <c r="D97" s="112"/>
      <c r="E97" s="112"/>
      <c r="F97" s="112"/>
      <c r="G97" s="112"/>
      <c r="H97" s="112"/>
      <c r="I97" s="112"/>
      <c r="J97" s="112"/>
      <c r="K97" s="119"/>
      <c r="L97" s="119"/>
      <c r="M97" s="119"/>
      <c r="N97" s="119"/>
      <c r="O97" s="119"/>
      <c r="P97" s="119"/>
      <c r="Q97" s="119"/>
      <c r="R97" s="119"/>
      <c r="S97" s="119"/>
      <c r="T97" s="119"/>
      <c r="U97" s="117"/>
      <c r="V97" s="47"/>
      <c r="W97" s="12"/>
    </row>
    <row r="98" ht="25.5" customHeight="1">
      <c r="A98" s="13"/>
      <c r="B98" s="50"/>
      <c r="C98" s="79"/>
      <c r="D98" t="s" s="80">
        <v>59</v>
      </c>
      <c r="E98" s="81"/>
      <c r="F98" s="81"/>
      <c r="G98" s="81"/>
      <c r="H98" s="81"/>
      <c r="I98" s="81"/>
      <c r="J98" s="81"/>
      <c r="K98" s="116"/>
      <c r="L98" s="116"/>
      <c r="M98" s="116"/>
      <c r="N98" s="116"/>
      <c r="O98" s="116"/>
      <c r="P98" s="116"/>
      <c r="Q98" s="116"/>
      <c r="R98" s="116"/>
      <c r="S98" s="116"/>
      <c r="T98" s="116"/>
      <c r="U98" s="381"/>
      <c r="V98" s="47"/>
      <c r="W98" s="12"/>
    </row>
    <row r="99" ht="15.75" customHeight="1">
      <c r="A99" s="13"/>
      <c r="B99" s="11"/>
      <c r="C99" s="48"/>
      <c r="D99" s="48"/>
      <c r="E99" s="48"/>
      <c r="F99" s="48"/>
      <c r="G99" s="48"/>
      <c r="H99" s="48"/>
      <c r="I99" s="48"/>
      <c r="J99" s="48"/>
      <c r="K99" s="48"/>
      <c r="L99" s="48"/>
      <c r="M99" s="48"/>
      <c r="N99" s="48"/>
      <c r="O99" s="48"/>
      <c r="P99" s="48"/>
      <c r="Q99" s="48"/>
      <c r="R99" s="48"/>
      <c r="S99" s="48"/>
      <c r="T99" s="48"/>
      <c r="U99" s="48"/>
      <c r="V99" s="11"/>
      <c r="W99" s="12"/>
    </row>
    <row r="100" ht="33.75" customHeight="1">
      <c r="A100" t="s" s="95">
        <v>435</v>
      </c>
      <c r="B100" t="s" s="49">
        <v>56</v>
      </c>
      <c r="C100" t="s" s="99">
        <f>CONCATENATE(A100,B100)</f>
        <v>445</v>
      </c>
      <c r="D100" t="s" s="382">
        <v>446</v>
      </c>
      <c r="E100" s="383"/>
      <c r="F100" s="383"/>
      <c r="G100" s="383"/>
      <c r="H100" s="383"/>
      <c r="I100" s="383"/>
      <c r="J100" s="383"/>
      <c r="K100" s="383"/>
      <c r="L100" s="383"/>
      <c r="M100" s="383"/>
      <c r="N100" s="383"/>
      <c r="O100" s="383"/>
      <c r="P100" s="383"/>
      <c r="Q100" s="383"/>
      <c r="R100" s="383"/>
      <c r="S100" s="383"/>
      <c r="T100" s="383"/>
      <c r="U100" s="383"/>
      <c r="V100" s="11"/>
      <c r="W100" s="12"/>
    </row>
    <row r="101" ht="15.75" customHeight="1">
      <c r="A101" s="13"/>
      <c r="B101" s="11"/>
      <c r="C101" s="40"/>
      <c r="D101" s="111"/>
      <c r="E101" s="40"/>
      <c r="F101" s="40"/>
      <c r="G101" s="40"/>
      <c r="H101" s="40"/>
      <c r="I101" s="40"/>
      <c r="J101" s="40"/>
      <c r="K101" s="40"/>
      <c r="L101" s="40"/>
      <c r="M101" s="40"/>
      <c r="N101" s="40"/>
      <c r="O101" s="40"/>
      <c r="P101" s="40"/>
      <c r="Q101" s="40"/>
      <c r="R101" s="40"/>
      <c r="S101" s="40"/>
      <c r="T101" s="40"/>
      <c r="U101" s="40"/>
      <c r="V101" s="11"/>
      <c r="W101" s="12"/>
    </row>
    <row r="102" ht="9.95" customHeight="1">
      <c r="A102" s="13"/>
      <c r="B102" s="50"/>
      <c r="C102" s="71"/>
      <c r="D102" s="119"/>
      <c r="E102" s="119"/>
      <c r="F102" s="119"/>
      <c r="G102" s="119"/>
      <c r="H102" s="119"/>
      <c r="I102" s="119"/>
      <c r="J102" s="119"/>
      <c r="K102" s="69"/>
      <c r="L102" s="69"/>
      <c r="M102" s="69"/>
      <c r="N102" s="69"/>
      <c r="O102" s="69"/>
      <c r="P102" s="69"/>
      <c r="Q102" s="69"/>
      <c r="R102" s="69"/>
      <c r="S102" s="69"/>
      <c r="T102" s="69"/>
      <c r="U102" s="121"/>
      <c r="V102" s="47"/>
      <c r="W102" s="12"/>
    </row>
    <row r="103" ht="90" customHeight="1">
      <c r="A103" s="13"/>
      <c r="B103" s="50"/>
      <c r="C103" s="75"/>
      <c r="D103" t="s" s="402">
        <v>440</v>
      </c>
      <c r="E103" s="403"/>
      <c r="F103" s="403"/>
      <c r="G103" s="403"/>
      <c r="H103" s="403"/>
      <c r="I103" s="403"/>
      <c r="J103" s="404"/>
      <c r="K103" s="105"/>
      <c r="L103" s="106"/>
      <c r="M103" s="106"/>
      <c r="N103" s="106"/>
      <c r="O103" s="106"/>
      <c r="P103" s="106"/>
      <c r="Q103" s="106"/>
      <c r="R103" s="106"/>
      <c r="S103" s="106"/>
      <c r="T103" s="107"/>
      <c r="U103" s="104"/>
      <c r="V103" s="47"/>
      <c r="W103" s="12"/>
    </row>
    <row r="104" ht="11.1" customHeight="1">
      <c r="A104" s="13"/>
      <c r="B104" s="50"/>
      <c r="C104" s="75"/>
      <c r="D104" s="112"/>
      <c r="E104" s="112"/>
      <c r="F104" s="112"/>
      <c r="G104" s="112"/>
      <c r="H104" s="112"/>
      <c r="I104" s="112"/>
      <c r="J104" s="112"/>
      <c r="K104" s="69"/>
      <c r="L104" s="69"/>
      <c r="M104" s="69"/>
      <c r="N104" s="69"/>
      <c r="O104" s="69"/>
      <c r="P104" s="69"/>
      <c r="Q104" s="69"/>
      <c r="R104" s="69"/>
      <c r="S104" s="69"/>
      <c r="T104" s="69"/>
      <c r="U104" s="117"/>
      <c r="V104" s="47"/>
      <c r="W104" s="12"/>
    </row>
    <row r="105" ht="90" customHeight="1">
      <c r="A105" s="13"/>
      <c r="B105" s="50"/>
      <c r="C105" s="75"/>
      <c r="D105" t="s" s="405">
        <v>441</v>
      </c>
      <c r="E105" s="406"/>
      <c r="F105" s="406"/>
      <c r="G105" s="406"/>
      <c r="H105" s="406"/>
      <c r="I105" s="406"/>
      <c r="J105" s="407"/>
      <c r="K105" s="105"/>
      <c r="L105" s="106"/>
      <c r="M105" s="106"/>
      <c r="N105" s="106"/>
      <c r="O105" s="106"/>
      <c r="P105" s="106"/>
      <c r="Q105" s="106"/>
      <c r="R105" s="106"/>
      <c r="S105" s="106"/>
      <c r="T105" s="107"/>
      <c r="U105" s="104"/>
      <c r="V105" s="47"/>
      <c r="W105" s="12"/>
    </row>
    <row r="106" ht="9.95" customHeight="1">
      <c r="A106" s="13"/>
      <c r="B106" s="50"/>
      <c r="C106" s="75"/>
      <c r="D106" s="112"/>
      <c r="E106" s="112"/>
      <c r="F106" s="112"/>
      <c r="G106" s="112"/>
      <c r="H106" s="112"/>
      <c r="I106" s="112"/>
      <c r="J106" s="112"/>
      <c r="K106" s="69"/>
      <c r="L106" s="69"/>
      <c r="M106" s="69"/>
      <c r="N106" s="69"/>
      <c r="O106" s="69"/>
      <c r="P106" s="69"/>
      <c r="Q106" s="69"/>
      <c r="R106" s="69"/>
      <c r="S106" s="69"/>
      <c r="T106" s="69"/>
      <c r="U106" s="117"/>
      <c r="V106" s="47"/>
      <c r="W106" s="12"/>
    </row>
    <row r="107" ht="90" customHeight="1">
      <c r="A107" s="13"/>
      <c r="B107" s="50"/>
      <c r="C107" s="75"/>
      <c r="D107" t="s" s="402">
        <v>442</v>
      </c>
      <c r="E107" s="403"/>
      <c r="F107" s="403"/>
      <c r="G107" s="403"/>
      <c r="H107" s="403"/>
      <c r="I107" s="403"/>
      <c r="J107" s="404"/>
      <c r="K107" s="105"/>
      <c r="L107" s="106"/>
      <c r="M107" s="106"/>
      <c r="N107" s="106"/>
      <c r="O107" s="106"/>
      <c r="P107" s="106"/>
      <c r="Q107" s="106"/>
      <c r="R107" s="106"/>
      <c r="S107" s="106"/>
      <c r="T107" s="107"/>
      <c r="U107" s="104"/>
      <c r="V107" s="47"/>
      <c r="W107" s="12"/>
    </row>
    <row r="108" ht="9.95" customHeight="1">
      <c r="A108" s="13"/>
      <c r="B108" s="50"/>
      <c r="C108" s="75"/>
      <c r="D108" s="112"/>
      <c r="E108" s="112"/>
      <c r="F108" s="112"/>
      <c r="G108" s="112"/>
      <c r="H108" s="112"/>
      <c r="I108" s="112"/>
      <c r="J108" s="112"/>
      <c r="K108" s="69"/>
      <c r="L108" s="69"/>
      <c r="M108" s="69"/>
      <c r="N108" s="69"/>
      <c r="O108" s="69"/>
      <c r="P108" s="69"/>
      <c r="Q108" s="69"/>
      <c r="R108" s="69"/>
      <c r="S108" s="69"/>
      <c r="T108" s="69"/>
      <c r="U108" s="117"/>
      <c r="V108" s="47"/>
      <c r="W108" s="12"/>
    </row>
    <row r="109" ht="90" customHeight="1">
      <c r="A109" s="13"/>
      <c r="B109" s="50"/>
      <c r="C109" s="75"/>
      <c r="D109" t="s" s="405">
        <v>443</v>
      </c>
      <c r="E109" s="406"/>
      <c r="F109" s="406"/>
      <c r="G109" s="406"/>
      <c r="H109" s="406"/>
      <c r="I109" s="406"/>
      <c r="J109" s="407"/>
      <c r="K109" s="105"/>
      <c r="L109" s="106"/>
      <c r="M109" s="106"/>
      <c r="N109" s="106"/>
      <c r="O109" s="106"/>
      <c r="P109" s="106"/>
      <c r="Q109" s="106"/>
      <c r="R109" s="106"/>
      <c r="S109" s="106"/>
      <c r="T109" s="107"/>
      <c r="U109" s="104"/>
      <c r="V109" s="47"/>
      <c r="W109" s="12"/>
    </row>
    <row r="110" ht="9.95" customHeight="1">
      <c r="A110" s="13"/>
      <c r="B110" s="50"/>
      <c r="C110" s="75"/>
      <c r="D110" s="112"/>
      <c r="E110" s="112"/>
      <c r="F110" s="112"/>
      <c r="G110" s="112"/>
      <c r="H110" s="112"/>
      <c r="I110" s="112"/>
      <c r="J110" s="112"/>
      <c r="K110" s="69"/>
      <c r="L110" s="69"/>
      <c r="M110" s="69"/>
      <c r="N110" s="69"/>
      <c r="O110" s="69"/>
      <c r="P110" s="69"/>
      <c r="Q110" s="69"/>
      <c r="R110" s="69"/>
      <c r="S110" s="69"/>
      <c r="T110" s="69"/>
      <c r="U110" s="117"/>
      <c r="V110" s="47"/>
      <c r="W110" s="12"/>
    </row>
    <row r="111" ht="90" customHeight="1">
      <c r="A111" s="13"/>
      <c r="B111" s="50"/>
      <c r="C111" s="75"/>
      <c r="D111" t="s" s="405">
        <v>444</v>
      </c>
      <c r="E111" s="406"/>
      <c r="F111" s="406"/>
      <c r="G111" s="406"/>
      <c r="H111" s="406"/>
      <c r="I111" s="406"/>
      <c r="J111" s="407"/>
      <c r="K111" s="105"/>
      <c r="L111" s="106"/>
      <c r="M111" s="106"/>
      <c r="N111" s="106"/>
      <c r="O111" s="106"/>
      <c r="P111" s="106"/>
      <c r="Q111" s="106"/>
      <c r="R111" s="106"/>
      <c r="S111" s="106"/>
      <c r="T111" s="107"/>
      <c r="U111" s="104"/>
      <c r="V111" s="47"/>
      <c r="W111" s="12"/>
    </row>
    <row r="112" ht="9.95" customHeight="1">
      <c r="A112" s="13"/>
      <c r="B112" s="50"/>
      <c r="C112" s="75"/>
      <c r="D112" s="112"/>
      <c r="E112" s="112"/>
      <c r="F112" s="112"/>
      <c r="G112" s="112"/>
      <c r="H112" s="112"/>
      <c r="I112" s="112"/>
      <c r="J112" s="112"/>
      <c r="K112" s="119"/>
      <c r="L112" s="119"/>
      <c r="M112" s="119"/>
      <c r="N112" s="119"/>
      <c r="O112" s="119"/>
      <c r="P112" s="119"/>
      <c r="Q112" s="119"/>
      <c r="R112" s="119"/>
      <c r="S112" s="119"/>
      <c r="T112" s="119"/>
      <c r="U112" s="117"/>
      <c r="V112" s="47"/>
      <c r="W112" s="12"/>
    </row>
    <row r="113" ht="25.5" customHeight="1">
      <c r="A113" s="13"/>
      <c r="B113" s="50"/>
      <c r="C113" s="79"/>
      <c r="D113" t="s" s="80">
        <v>59</v>
      </c>
      <c r="E113" s="81"/>
      <c r="F113" s="81"/>
      <c r="G113" s="81"/>
      <c r="H113" s="81"/>
      <c r="I113" s="81"/>
      <c r="J113" s="81"/>
      <c r="K113" s="116"/>
      <c r="L113" s="116"/>
      <c r="M113" s="116"/>
      <c r="N113" s="116"/>
      <c r="O113" s="116"/>
      <c r="P113" s="116"/>
      <c r="Q113" s="116"/>
      <c r="R113" s="116"/>
      <c r="S113" s="116"/>
      <c r="T113" s="116"/>
      <c r="U113" s="381"/>
      <c r="V113" s="47"/>
      <c r="W113" s="12"/>
    </row>
    <row r="114" ht="15.75" customHeight="1">
      <c r="A114" s="13"/>
      <c r="B114" s="11"/>
      <c r="C114" s="48"/>
      <c r="D114" s="48"/>
      <c r="E114" s="48"/>
      <c r="F114" s="48"/>
      <c r="G114" s="48"/>
      <c r="H114" s="48"/>
      <c r="I114" s="48"/>
      <c r="J114" s="48"/>
      <c r="K114" s="48"/>
      <c r="L114" s="48"/>
      <c r="M114" s="48"/>
      <c r="N114" s="48"/>
      <c r="O114" s="48"/>
      <c r="P114" s="48"/>
      <c r="Q114" s="48"/>
      <c r="R114" s="48"/>
      <c r="S114" s="48"/>
      <c r="T114" s="48"/>
      <c r="U114" s="48"/>
      <c r="V114" s="11"/>
      <c r="W114" s="12"/>
    </row>
    <row r="115" ht="15.35" customHeight="1">
      <c r="A115" t="s" s="95">
        <v>435</v>
      </c>
      <c r="B115" t="s" s="49">
        <v>68</v>
      </c>
      <c r="C115" t="s" s="99">
        <f>CONCATENATE(A115,B115)</f>
        <v>447</v>
      </c>
      <c r="D115" t="s" s="382">
        <v>448</v>
      </c>
      <c r="E115" s="383"/>
      <c r="F115" s="383"/>
      <c r="G115" s="383"/>
      <c r="H115" s="383"/>
      <c r="I115" s="383"/>
      <c r="J115" s="383"/>
      <c r="K115" s="383"/>
      <c r="L115" s="383"/>
      <c r="M115" s="383"/>
      <c r="N115" s="383"/>
      <c r="O115" s="383"/>
      <c r="P115" s="383"/>
      <c r="Q115" s="383"/>
      <c r="R115" s="383"/>
      <c r="S115" s="383"/>
      <c r="T115" s="383"/>
      <c r="U115" s="383"/>
      <c r="V115" s="11"/>
      <c r="W115" s="12"/>
    </row>
    <row r="116" ht="15.75" customHeight="1">
      <c r="A116" s="13"/>
      <c r="B116" s="11"/>
      <c r="C116" s="40"/>
      <c r="D116" s="40"/>
      <c r="E116" s="40"/>
      <c r="F116" s="40"/>
      <c r="G116" s="40"/>
      <c r="H116" s="40"/>
      <c r="I116" s="40"/>
      <c r="J116" s="40"/>
      <c r="K116" s="40"/>
      <c r="L116" s="40"/>
      <c r="M116" s="40"/>
      <c r="N116" s="40"/>
      <c r="O116" s="40"/>
      <c r="P116" s="40"/>
      <c r="Q116" s="40"/>
      <c r="R116" s="40"/>
      <c r="S116" s="40"/>
      <c r="T116" s="40"/>
      <c r="U116" s="40"/>
      <c r="V116" s="11"/>
      <c r="W116" s="12"/>
    </row>
    <row r="117" ht="9.95" customHeight="1">
      <c r="A117" s="13"/>
      <c r="B117" s="50"/>
      <c r="C117" s="71"/>
      <c r="D117" s="119"/>
      <c r="E117" s="119"/>
      <c r="F117" s="119"/>
      <c r="G117" s="119"/>
      <c r="H117" s="119"/>
      <c r="I117" s="119"/>
      <c r="J117" s="119"/>
      <c r="K117" s="69"/>
      <c r="L117" s="69"/>
      <c r="M117" s="69"/>
      <c r="N117" s="69"/>
      <c r="O117" s="69"/>
      <c r="P117" s="69"/>
      <c r="Q117" s="69"/>
      <c r="R117" s="69"/>
      <c r="S117" s="69"/>
      <c r="T117" s="69"/>
      <c r="U117" s="121"/>
      <c r="V117" s="47"/>
      <c r="W117" s="12"/>
    </row>
    <row r="118" ht="90" customHeight="1">
      <c r="A118" s="13"/>
      <c r="B118" s="50"/>
      <c r="C118" s="75"/>
      <c r="D118" t="s" s="402">
        <v>449</v>
      </c>
      <c r="E118" s="403"/>
      <c r="F118" s="403"/>
      <c r="G118" s="403"/>
      <c r="H118" s="403"/>
      <c r="I118" s="403"/>
      <c r="J118" s="404"/>
      <c r="K118" s="105"/>
      <c r="L118" s="106"/>
      <c r="M118" s="106"/>
      <c r="N118" s="106"/>
      <c r="O118" s="106"/>
      <c r="P118" s="106"/>
      <c r="Q118" s="106"/>
      <c r="R118" s="106"/>
      <c r="S118" s="106"/>
      <c r="T118" s="107"/>
      <c r="U118" s="104"/>
      <c r="V118" s="47"/>
      <c r="W118" s="12"/>
    </row>
    <row r="119" ht="11.1" customHeight="1">
      <c r="A119" s="13"/>
      <c r="B119" s="50"/>
      <c r="C119" s="75"/>
      <c r="D119" s="112"/>
      <c r="E119" s="112"/>
      <c r="F119" s="112"/>
      <c r="G119" s="112"/>
      <c r="H119" s="112"/>
      <c r="I119" s="112"/>
      <c r="J119" s="112"/>
      <c r="K119" s="69"/>
      <c r="L119" s="69"/>
      <c r="M119" s="69"/>
      <c r="N119" s="69"/>
      <c r="O119" s="69"/>
      <c r="P119" s="69"/>
      <c r="Q119" s="69"/>
      <c r="R119" s="69"/>
      <c r="S119" s="69"/>
      <c r="T119" s="69"/>
      <c r="U119" s="117"/>
      <c r="V119" s="47"/>
      <c r="W119" s="12"/>
    </row>
    <row r="120" ht="90" customHeight="1">
      <c r="A120" s="13"/>
      <c r="B120" s="50"/>
      <c r="C120" s="75"/>
      <c r="D120" t="s" s="402">
        <v>450</v>
      </c>
      <c r="E120" s="403"/>
      <c r="F120" s="403"/>
      <c r="G120" s="403"/>
      <c r="H120" s="403"/>
      <c r="I120" s="403"/>
      <c r="J120" s="404"/>
      <c r="K120" s="105"/>
      <c r="L120" s="106"/>
      <c r="M120" s="106"/>
      <c r="N120" s="106"/>
      <c r="O120" s="106"/>
      <c r="P120" s="106"/>
      <c r="Q120" s="106"/>
      <c r="R120" s="106"/>
      <c r="S120" s="106"/>
      <c r="T120" s="107"/>
      <c r="U120" s="104"/>
      <c r="V120" s="47"/>
      <c r="W120" s="12"/>
    </row>
    <row r="121" ht="9.95" customHeight="1">
      <c r="A121" s="13"/>
      <c r="B121" s="50"/>
      <c r="C121" s="75"/>
      <c r="D121" s="112"/>
      <c r="E121" s="112"/>
      <c r="F121" s="112"/>
      <c r="G121" s="112"/>
      <c r="H121" s="112"/>
      <c r="I121" s="112"/>
      <c r="J121" s="112"/>
      <c r="K121" s="69"/>
      <c r="L121" s="69"/>
      <c r="M121" s="69"/>
      <c r="N121" s="69"/>
      <c r="O121" s="69"/>
      <c r="P121" s="69"/>
      <c r="Q121" s="69"/>
      <c r="R121" s="69"/>
      <c r="S121" s="69"/>
      <c r="T121" s="69"/>
      <c r="U121" s="117"/>
      <c r="V121" s="47"/>
      <c r="W121" s="12"/>
    </row>
    <row r="122" ht="90" customHeight="1">
      <c r="A122" s="13"/>
      <c r="B122" s="50"/>
      <c r="C122" s="75"/>
      <c r="D122" t="s" s="405">
        <v>443</v>
      </c>
      <c r="E122" s="406"/>
      <c r="F122" s="406"/>
      <c r="G122" s="406"/>
      <c r="H122" s="406"/>
      <c r="I122" s="406"/>
      <c r="J122" s="407"/>
      <c r="K122" s="105"/>
      <c r="L122" s="106"/>
      <c r="M122" s="106"/>
      <c r="N122" s="106"/>
      <c r="O122" s="106"/>
      <c r="P122" s="106"/>
      <c r="Q122" s="106"/>
      <c r="R122" s="106"/>
      <c r="S122" s="106"/>
      <c r="T122" s="107"/>
      <c r="U122" s="104"/>
      <c r="V122" s="47"/>
      <c r="W122" s="12"/>
    </row>
    <row r="123" ht="9.95" customHeight="1">
      <c r="A123" s="13"/>
      <c r="B123" s="50"/>
      <c r="C123" s="75"/>
      <c r="D123" s="112"/>
      <c r="E123" s="112"/>
      <c r="F123" s="112"/>
      <c r="G123" s="112"/>
      <c r="H123" s="112"/>
      <c r="I123" s="112"/>
      <c r="J123" s="112"/>
      <c r="K123" s="69"/>
      <c r="L123" s="69"/>
      <c r="M123" s="69"/>
      <c r="N123" s="69"/>
      <c r="O123" s="69"/>
      <c r="P123" s="69"/>
      <c r="Q123" s="69"/>
      <c r="R123" s="69"/>
      <c r="S123" s="69"/>
      <c r="T123" s="69"/>
      <c r="U123" s="117"/>
      <c r="V123" s="47"/>
      <c r="W123" s="12"/>
    </row>
    <row r="124" ht="90" customHeight="1">
      <c r="A124" s="13"/>
      <c r="B124" s="50"/>
      <c r="C124" s="75"/>
      <c r="D124" t="s" s="405">
        <v>444</v>
      </c>
      <c r="E124" s="406"/>
      <c r="F124" s="406"/>
      <c r="G124" s="406"/>
      <c r="H124" s="406"/>
      <c r="I124" s="406"/>
      <c r="J124" s="407"/>
      <c r="K124" s="105"/>
      <c r="L124" s="106"/>
      <c r="M124" s="106"/>
      <c r="N124" s="106"/>
      <c r="O124" s="106"/>
      <c r="P124" s="106"/>
      <c r="Q124" s="106"/>
      <c r="R124" s="106"/>
      <c r="S124" s="106"/>
      <c r="T124" s="107"/>
      <c r="U124" s="104"/>
      <c r="V124" s="47"/>
      <c r="W124" s="12"/>
    </row>
    <row r="125" ht="9.95" customHeight="1">
      <c r="A125" s="13"/>
      <c r="B125" s="50"/>
      <c r="C125" s="75"/>
      <c r="D125" s="112"/>
      <c r="E125" s="112"/>
      <c r="F125" s="112"/>
      <c r="G125" s="112"/>
      <c r="H125" s="112"/>
      <c r="I125" s="112"/>
      <c r="J125" s="112"/>
      <c r="K125" s="119"/>
      <c r="L125" s="119"/>
      <c r="M125" s="119"/>
      <c r="N125" s="119"/>
      <c r="O125" s="119"/>
      <c r="P125" s="119"/>
      <c r="Q125" s="119"/>
      <c r="R125" s="119"/>
      <c r="S125" s="119"/>
      <c r="T125" s="119"/>
      <c r="U125" s="117"/>
      <c r="V125" s="47"/>
      <c r="W125" s="12"/>
    </row>
    <row r="126" ht="25.5" customHeight="1">
      <c r="A126" s="13"/>
      <c r="B126" s="50"/>
      <c r="C126" s="79"/>
      <c r="D126" t="s" s="80">
        <v>59</v>
      </c>
      <c r="E126" s="81"/>
      <c r="F126" s="81"/>
      <c r="G126" s="81"/>
      <c r="H126" s="81"/>
      <c r="I126" s="81"/>
      <c r="J126" s="81"/>
      <c r="K126" s="116"/>
      <c r="L126" s="116"/>
      <c r="M126" s="116"/>
      <c r="N126" s="116"/>
      <c r="O126" s="116"/>
      <c r="P126" s="116"/>
      <c r="Q126" s="116"/>
      <c r="R126" s="116"/>
      <c r="S126" s="116"/>
      <c r="T126" s="116"/>
      <c r="U126" s="381"/>
      <c r="V126" s="47"/>
      <c r="W126" s="12"/>
    </row>
    <row r="127" ht="15.75" customHeight="1">
      <c r="A127" s="13"/>
      <c r="B127" s="11"/>
      <c r="C127" s="48"/>
      <c r="D127" s="48"/>
      <c r="E127" s="48"/>
      <c r="F127" s="48"/>
      <c r="G127" s="48"/>
      <c r="H127" s="48"/>
      <c r="I127" s="48"/>
      <c r="J127" s="48"/>
      <c r="K127" s="48"/>
      <c r="L127" s="48"/>
      <c r="M127" s="48"/>
      <c r="N127" s="48"/>
      <c r="O127" s="48"/>
      <c r="P127" s="48"/>
      <c r="Q127" s="48"/>
      <c r="R127" s="48"/>
      <c r="S127" s="48"/>
      <c r="T127" s="48"/>
      <c r="U127" s="48"/>
      <c r="V127" s="11"/>
      <c r="W127" s="12"/>
    </row>
    <row r="128" ht="15.75" customHeight="1">
      <c r="A128" t="s" s="95">
        <v>435</v>
      </c>
      <c r="B128" s="96">
        <v>2</v>
      </c>
      <c r="C128" t="s" s="97">
        <f>CONCATENATE(A128,B128)</f>
        <v>451</v>
      </c>
      <c r="D128" t="s" s="41">
        <v>452</v>
      </c>
      <c r="E128" s="42"/>
      <c r="F128" s="42"/>
      <c r="G128" s="42"/>
      <c r="H128" s="42"/>
      <c r="I128" s="42"/>
      <c r="J128" s="42"/>
      <c r="K128" s="42"/>
      <c r="L128" s="42"/>
      <c r="M128" s="42"/>
      <c r="N128" s="42"/>
      <c r="O128" s="11"/>
      <c r="P128" s="11"/>
      <c r="Q128" s="11"/>
      <c r="R128" s="11"/>
      <c r="S128" s="11"/>
      <c r="T128" s="11"/>
      <c r="U128" s="11"/>
      <c r="V128" s="11"/>
      <c r="W128" s="12"/>
    </row>
    <row r="129" ht="15.75" customHeight="1">
      <c r="A129" s="13"/>
      <c r="B129" s="11"/>
      <c r="C129" s="11"/>
      <c r="D129" s="11"/>
      <c r="E129" s="11"/>
      <c r="F129" s="11"/>
      <c r="G129" s="11"/>
      <c r="H129" s="11"/>
      <c r="I129" s="11"/>
      <c r="J129" s="11"/>
      <c r="K129" s="11"/>
      <c r="L129" s="11"/>
      <c r="M129" s="11"/>
      <c r="N129" s="11"/>
      <c r="O129" s="11"/>
      <c r="P129" s="11"/>
      <c r="Q129" s="11"/>
      <c r="R129" s="11"/>
      <c r="S129" s="11"/>
      <c r="T129" s="11"/>
      <c r="U129" s="11"/>
      <c r="V129" s="11"/>
      <c r="W129" s="12"/>
    </row>
    <row r="130" ht="50.1" customHeight="1">
      <c r="A130" s="13"/>
      <c r="B130" s="11"/>
      <c r="C130" t="s" s="384">
        <v>453</v>
      </c>
      <c r="D130" s="385"/>
      <c r="E130" s="385"/>
      <c r="F130" s="385"/>
      <c r="G130" s="385"/>
      <c r="H130" s="385"/>
      <c r="I130" s="385"/>
      <c r="J130" s="385"/>
      <c r="K130" s="385"/>
      <c r="L130" s="385"/>
      <c r="M130" s="385"/>
      <c r="N130" s="385"/>
      <c r="O130" s="385"/>
      <c r="P130" s="385"/>
      <c r="Q130" s="385"/>
      <c r="R130" s="385"/>
      <c r="S130" s="385"/>
      <c r="T130" s="385"/>
      <c r="U130" s="385"/>
      <c r="V130" s="11"/>
      <c r="W130" s="12"/>
    </row>
    <row r="131" ht="15.75" customHeight="1">
      <c r="A131" s="13"/>
      <c r="B131" s="11"/>
      <c r="C131" s="11"/>
      <c r="D131" s="11"/>
      <c r="E131" s="11"/>
      <c r="F131" s="11"/>
      <c r="G131" s="11"/>
      <c r="H131" s="11"/>
      <c r="I131" s="11"/>
      <c r="J131" s="11"/>
      <c r="K131" s="11"/>
      <c r="L131" s="11"/>
      <c r="M131" s="11"/>
      <c r="N131" s="11"/>
      <c r="O131" s="11"/>
      <c r="P131" s="11"/>
      <c r="Q131" s="11"/>
      <c r="R131" s="11"/>
      <c r="S131" s="11"/>
      <c r="T131" s="11"/>
      <c r="U131" s="11"/>
      <c r="V131" s="11"/>
      <c r="W131" s="12"/>
    </row>
    <row r="132" ht="15.75" customHeight="1">
      <c r="A132" s="13"/>
      <c r="B132" s="11"/>
      <c r="C132" s="11"/>
      <c r="D132" s="11"/>
      <c r="E132" t="s" s="49">
        <v>454</v>
      </c>
      <c r="F132" s="11"/>
      <c r="G132" s="11"/>
      <c r="H132" s="11"/>
      <c r="I132" s="11"/>
      <c r="J132" s="11"/>
      <c r="K132" s="11"/>
      <c r="L132" s="11"/>
      <c r="M132" s="11"/>
      <c r="N132" s="11"/>
      <c r="O132" s="11"/>
      <c r="P132" s="11"/>
      <c r="Q132" s="11"/>
      <c r="R132" s="11"/>
      <c r="S132" s="11"/>
      <c r="T132" s="11"/>
      <c r="U132" s="11"/>
      <c r="V132" s="11"/>
      <c r="W132" s="12"/>
    </row>
    <row r="133" ht="15.75" customHeight="1">
      <c r="A133" s="13"/>
      <c r="B133" s="11"/>
      <c r="C133" s="11"/>
      <c r="D133" s="11"/>
      <c r="E133" s="11"/>
      <c r="F133" s="11"/>
      <c r="G133" s="11"/>
      <c r="H133" s="11"/>
      <c r="I133" s="11"/>
      <c r="J133" s="11"/>
      <c r="K133" s="11"/>
      <c r="L133" s="11"/>
      <c r="M133" s="11"/>
      <c r="N133" s="11"/>
      <c r="O133" s="11"/>
      <c r="P133" s="11"/>
      <c r="Q133" s="11"/>
      <c r="R133" s="11"/>
      <c r="S133" s="11"/>
      <c r="T133" s="11"/>
      <c r="U133" s="11"/>
      <c r="V133" s="11"/>
      <c r="W133" s="12"/>
    </row>
    <row r="134" ht="15.75" customHeight="1">
      <c r="A134" t="s" s="95">
        <v>435</v>
      </c>
      <c r="B134" s="96">
        <v>3</v>
      </c>
      <c r="C134" t="s" s="97">
        <f>CONCATENATE(A134,B134)</f>
        <v>455</v>
      </c>
      <c r="D134" t="s" s="41">
        <v>456</v>
      </c>
      <c r="E134" s="42"/>
      <c r="F134" s="42"/>
      <c r="G134" s="42"/>
      <c r="H134" s="42"/>
      <c r="I134" s="42"/>
      <c r="J134" s="42"/>
      <c r="K134" s="42"/>
      <c r="L134" s="11"/>
      <c r="M134" s="11"/>
      <c r="N134" s="11"/>
      <c r="O134" s="11"/>
      <c r="P134" s="11"/>
      <c r="Q134" s="11"/>
      <c r="R134" s="11"/>
      <c r="S134" s="11"/>
      <c r="T134" s="11"/>
      <c r="U134" s="11"/>
      <c r="V134" s="11"/>
      <c r="W134" s="12"/>
    </row>
    <row r="135" ht="15.75" customHeight="1">
      <c r="A135" s="13"/>
      <c r="B135" s="11"/>
      <c r="C135" s="11"/>
      <c r="D135" s="11"/>
      <c r="E135" s="11"/>
      <c r="F135" s="11"/>
      <c r="G135" s="11"/>
      <c r="H135" s="11"/>
      <c r="I135" s="11"/>
      <c r="J135" s="11"/>
      <c r="K135" s="11"/>
      <c r="L135" s="11"/>
      <c r="M135" s="11"/>
      <c r="N135" s="11"/>
      <c r="O135" s="11"/>
      <c r="P135" s="11"/>
      <c r="Q135" s="11"/>
      <c r="R135" s="11"/>
      <c r="S135" s="11"/>
      <c r="T135" s="11"/>
      <c r="U135" s="11"/>
      <c r="V135" s="11"/>
      <c r="W135" s="12"/>
    </row>
    <row r="136" ht="15.75" customHeight="1">
      <c r="A136" s="13"/>
      <c r="B136" s="11"/>
      <c r="C136" t="s" s="41">
        <v>457</v>
      </c>
      <c r="D136" s="42"/>
      <c r="E136" s="42"/>
      <c r="F136" s="42"/>
      <c r="G136" s="42"/>
      <c r="H136" s="42"/>
      <c r="I136" s="11"/>
      <c r="J136" s="11"/>
      <c r="K136" s="11"/>
      <c r="L136" s="11"/>
      <c r="M136" s="11"/>
      <c r="N136" s="11"/>
      <c r="O136" s="11"/>
      <c r="P136" s="11"/>
      <c r="Q136" s="11"/>
      <c r="R136" s="11"/>
      <c r="S136" s="11"/>
      <c r="T136" s="11"/>
      <c r="U136" s="11"/>
      <c r="V136" s="11"/>
      <c r="W136" s="12"/>
    </row>
    <row r="137" ht="50.1" customHeight="1">
      <c r="A137" s="13"/>
      <c r="B137" s="11"/>
      <c r="C137" t="s" s="384">
        <v>458</v>
      </c>
      <c r="D137" s="385"/>
      <c r="E137" s="385"/>
      <c r="F137" s="385"/>
      <c r="G137" s="385"/>
      <c r="H137" s="385"/>
      <c r="I137" s="385"/>
      <c r="J137" s="385"/>
      <c r="K137" s="385"/>
      <c r="L137" s="385"/>
      <c r="M137" s="385"/>
      <c r="N137" s="385"/>
      <c r="O137" s="385"/>
      <c r="P137" s="385"/>
      <c r="Q137" s="385"/>
      <c r="R137" s="385"/>
      <c r="S137" s="385"/>
      <c r="T137" s="385"/>
      <c r="U137" s="385"/>
      <c r="V137" s="11"/>
      <c r="W137" s="12"/>
    </row>
    <row r="138" ht="15.75" customHeight="1">
      <c r="A138" s="13"/>
      <c r="B138" s="11"/>
      <c r="C138" s="11"/>
      <c r="D138" s="11"/>
      <c r="E138" s="11"/>
      <c r="F138" s="11"/>
      <c r="G138" s="11"/>
      <c r="H138" s="11"/>
      <c r="I138" s="11"/>
      <c r="J138" s="11"/>
      <c r="K138" s="11"/>
      <c r="L138" s="11"/>
      <c r="M138" s="11"/>
      <c r="N138" s="11"/>
      <c r="O138" s="11"/>
      <c r="P138" s="11"/>
      <c r="Q138" s="11"/>
      <c r="R138" s="11"/>
      <c r="S138" s="11"/>
      <c r="T138" s="11"/>
      <c r="U138" s="11"/>
      <c r="V138" s="11"/>
      <c r="W138" s="12"/>
    </row>
    <row r="139" ht="15.75" customHeight="1">
      <c r="A139" s="13"/>
      <c r="B139" s="11"/>
      <c r="C139" s="11"/>
      <c r="D139" s="11"/>
      <c r="E139" t="s" s="49">
        <v>459</v>
      </c>
      <c r="F139" s="11"/>
      <c r="G139" s="11"/>
      <c r="H139" s="11"/>
      <c r="I139" s="11"/>
      <c r="J139" s="11"/>
      <c r="K139" s="11"/>
      <c r="L139" s="11"/>
      <c r="M139" s="11"/>
      <c r="N139" s="11"/>
      <c r="O139" s="11"/>
      <c r="P139" s="11"/>
      <c r="Q139" s="11"/>
      <c r="R139" s="11"/>
      <c r="S139" s="11"/>
      <c r="T139" s="11"/>
      <c r="U139" s="11"/>
      <c r="V139" s="11"/>
      <c r="W139" s="12"/>
    </row>
    <row r="140" ht="15.75" customHeight="1">
      <c r="A140" s="13"/>
      <c r="B140" s="11"/>
      <c r="C140" s="11"/>
      <c r="D140" s="11"/>
      <c r="E140" s="11"/>
      <c r="F140" s="11"/>
      <c r="G140" s="11"/>
      <c r="H140" s="11"/>
      <c r="I140" s="11"/>
      <c r="J140" s="11"/>
      <c r="K140" s="11"/>
      <c r="L140" s="11"/>
      <c r="M140" s="11"/>
      <c r="N140" s="11"/>
      <c r="O140" s="11"/>
      <c r="P140" s="11"/>
      <c r="Q140" s="11"/>
      <c r="R140" s="11"/>
      <c r="S140" s="11"/>
      <c r="T140" s="11"/>
      <c r="U140" s="11"/>
      <c r="V140" s="11"/>
      <c r="W140" s="12"/>
    </row>
    <row r="141" ht="15.75" customHeight="1">
      <c r="A141" t="s" s="95">
        <v>435</v>
      </c>
      <c r="B141" t="s" s="49">
        <v>171</v>
      </c>
      <c r="C141" t="s" s="97">
        <f>CONCATENATE(A141,B141)</f>
        <v>460</v>
      </c>
      <c r="D141" t="s" s="41">
        <v>461</v>
      </c>
      <c r="E141" s="42"/>
      <c r="F141" s="42"/>
      <c r="G141" s="42"/>
      <c r="H141" s="42"/>
      <c r="I141" s="11"/>
      <c r="J141" s="11"/>
      <c r="K141" s="11"/>
      <c r="L141" s="11"/>
      <c r="M141" s="11"/>
      <c r="N141" s="11"/>
      <c r="O141" s="11"/>
      <c r="P141" s="11"/>
      <c r="Q141" s="11"/>
      <c r="R141" s="11"/>
      <c r="S141" s="11"/>
      <c r="T141" s="11"/>
      <c r="U141" s="11"/>
      <c r="V141" s="11"/>
      <c r="W141" s="12"/>
    </row>
    <row r="142" ht="30.95" customHeight="1">
      <c r="A142" s="13"/>
      <c r="B142" s="11"/>
      <c r="C142" t="s" s="384">
        <v>462</v>
      </c>
      <c r="D142" s="385"/>
      <c r="E142" s="385"/>
      <c r="F142" s="385"/>
      <c r="G142" s="385"/>
      <c r="H142" s="385"/>
      <c r="I142" s="385"/>
      <c r="J142" s="385"/>
      <c r="K142" s="385"/>
      <c r="L142" s="385"/>
      <c r="M142" s="385"/>
      <c r="N142" s="385"/>
      <c r="O142" s="385"/>
      <c r="P142" s="385"/>
      <c r="Q142" s="385"/>
      <c r="R142" s="385"/>
      <c r="S142" s="385"/>
      <c r="T142" s="385"/>
      <c r="U142" s="385"/>
      <c r="V142" s="11"/>
      <c r="W142" s="12"/>
    </row>
    <row r="143" ht="15.75" customHeight="1">
      <c r="A143" s="13"/>
      <c r="B143" s="11"/>
      <c r="C143" s="11"/>
      <c r="D143" s="11"/>
      <c r="E143" s="11"/>
      <c r="F143" s="11"/>
      <c r="G143" s="11"/>
      <c r="H143" s="11"/>
      <c r="I143" s="11"/>
      <c r="J143" s="11"/>
      <c r="K143" s="11"/>
      <c r="L143" s="11"/>
      <c r="M143" s="11"/>
      <c r="N143" s="11"/>
      <c r="O143" s="11"/>
      <c r="P143" s="11"/>
      <c r="Q143" s="11"/>
      <c r="R143" s="11"/>
      <c r="S143" s="11"/>
      <c r="T143" s="11"/>
      <c r="U143" s="11"/>
      <c r="V143" s="11"/>
      <c r="W143" s="12"/>
    </row>
    <row r="144" ht="15.75" customHeight="1">
      <c r="A144" s="13"/>
      <c r="B144" s="11"/>
      <c r="C144" s="11"/>
      <c r="D144" s="11"/>
      <c r="E144" s="11"/>
      <c r="F144" s="11"/>
      <c r="G144" s="11"/>
      <c r="H144" s="11"/>
      <c r="I144" s="11"/>
      <c r="J144" s="11"/>
      <c r="K144" s="11"/>
      <c r="L144" s="11"/>
      <c r="M144" s="11"/>
      <c r="N144" s="11"/>
      <c r="O144" s="11"/>
      <c r="P144" s="11"/>
      <c r="Q144" s="11"/>
      <c r="R144" s="11"/>
      <c r="S144" s="11"/>
      <c r="T144" s="11"/>
      <c r="U144" s="11"/>
      <c r="V144" s="11"/>
      <c r="W144" s="12"/>
    </row>
    <row r="145" ht="15.75" customHeight="1">
      <c r="A145" s="13"/>
      <c r="B145" s="11"/>
      <c r="C145" s="11"/>
      <c r="D145" s="11"/>
      <c r="E145" s="11"/>
      <c r="F145" s="11"/>
      <c r="G145" s="11"/>
      <c r="H145" s="11"/>
      <c r="I145" s="11"/>
      <c r="J145" s="11"/>
      <c r="K145" s="11"/>
      <c r="L145" s="11"/>
      <c r="M145" s="11"/>
      <c r="N145" s="11"/>
      <c r="O145" s="11"/>
      <c r="P145" s="11"/>
      <c r="Q145" s="11"/>
      <c r="R145" s="11"/>
      <c r="S145" s="11"/>
      <c r="T145" s="11"/>
      <c r="U145" s="11"/>
      <c r="V145" s="11"/>
      <c r="W145" s="12"/>
    </row>
    <row r="146" ht="15.75" customHeight="1">
      <c r="A146" s="13"/>
      <c r="B146" s="11"/>
      <c r="C146" t="s" s="102">
        <v>463</v>
      </c>
      <c r="D146" s="103"/>
      <c r="E146" s="103"/>
      <c r="F146" s="103"/>
      <c r="G146" s="103"/>
      <c r="H146" s="103"/>
      <c r="I146" s="103"/>
      <c r="J146" s="103"/>
      <c r="K146" s="103"/>
      <c r="L146" s="103"/>
      <c r="M146" s="40"/>
      <c r="N146" s="40"/>
      <c r="O146" s="40"/>
      <c r="P146" s="40"/>
      <c r="Q146" s="40"/>
      <c r="R146" s="40"/>
      <c r="S146" s="40"/>
      <c r="T146" s="40"/>
      <c r="U146" s="40"/>
      <c r="V146" s="11"/>
      <c r="W146" s="12"/>
    </row>
    <row r="147" ht="25.5" customHeight="1">
      <c r="A147" s="13"/>
      <c r="B147" s="50"/>
      <c r="C147" s="71"/>
      <c r="D147" t="s" s="72">
        <v>464</v>
      </c>
      <c r="E147" s="73"/>
      <c r="F147" s="73"/>
      <c r="G147" s="73"/>
      <c r="H147" s="73"/>
      <c r="I147" s="73"/>
      <c r="J147" s="73"/>
      <c r="K147" s="73"/>
      <c r="L147" s="73"/>
      <c r="M147" s="73"/>
      <c r="N147" s="73"/>
      <c r="O147" s="73"/>
      <c r="P147" s="73"/>
      <c r="Q147" s="73"/>
      <c r="R147" s="73"/>
      <c r="S147" s="73"/>
      <c r="T147" s="73"/>
      <c r="U147" s="74"/>
      <c r="V147" s="47"/>
      <c r="W147" s="12"/>
    </row>
    <row r="148" ht="25.5" customHeight="1">
      <c r="A148" s="13"/>
      <c r="B148" s="50"/>
      <c r="C148" s="75"/>
      <c r="D148" t="s" s="76">
        <v>465</v>
      </c>
      <c r="E148" s="77"/>
      <c r="F148" s="77"/>
      <c r="G148" s="77"/>
      <c r="H148" s="77"/>
      <c r="I148" s="77"/>
      <c r="J148" s="77"/>
      <c r="K148" s="77"/>
      <c r="L148" s="77"/>
      <c r="M148" s="77"/>
      <c r="N148" s="77"/>
      <c r="O148" s="77"/>
      <c r="P148" s="77"/>
      <c r="Q148" s="77"/>
      <c r="R148" s="77"/>
      <c r="S148" s="77"/>
      <c r="T148" s="77"/>
      <c r="U148" s="78"/>
      <c r="V148" s="47"/>
      <c r="W148" s="12"/>
    </row>
    <row r="149" ht="25.5" customHeight="1">
      <c r="A149" s="13"/>
      <c r="B149" s="50"/>
      <c r="C149" s="75"/>
      <c r="D149" t="s" s="76">
        <v>466</v>
      </c>
      <c r="E149" s="77"/>
      <c r="F149" s="77"/>
      <c r="G149" s="77"/>
      <c r="H149" s="77"/>
      <c r="I149" s="77"/>
      <c r="J149" s="77"/>
      <c r="K149" s="77"/>
      <c r="L149" s="77"/>
      <c r="M149" s="77"/>
      <c r="N149" s="77"/>
      <c r="O149" s="77"/>
      <c r="P149" s="77"/>
      <c r="Q149" s="77"/>
      <c r="R149" s="77"/>
      <c r="S149" s="77"/>
      <c r="T149" s="77"/>
      <c r="U149" s="78"/>
      <c r="V149" s="47"/>
      <c r="W149" s="12"/>
    </row>
    <row r="150" ht="25.5" customHeight="1">
      <c r="A150" s="13"/>
      <c r="B150" s="50"/>
      <c r="C150" s="75"/>
      <c r="D150" t="s" s="76">
        <v>467</v>
      </c>
      <c r="E150" s="77"/>
      <c r="F150" s="77"/>
      <c r="G150" s="77"/>
      <c r="H150" s="77"/>
      <c r="I150" s="77"/>
      <c r="J150" s="77"/>
      <c r="K150" s="77"/>
      <c r="L150" s="77"/>
      <c r="M150" s="77"/>
      <c r="N150" s="77"/>
      <c r="O150" s="77"/>
      <c r="P150" s="77"/>
      <c r="Q150" s="77"/>
      <c r="R150" s="77"/>
      <c r="S150" s="77"/>
      <c r="T150" s="77"/>
      <c r="U150" s="78"/>
      <c r="V150" s="47"/>
      <c r="W150" s="12"/>
    </row>
    <row r="151" ht="25.5" customHeight="1">
      <c r="A151" s="13"/>
      <c r="B151" s="50"/>
      <c r="C151" s="75"/>
      <c r="D151" t="s" s="76">
        <v>468</v>
      </c>
      <c r="E151" s="77"/>
      <c r="F151" s="77"/>
      <c r="G151" s="77"/>
      <c r="H151" s="77"/>
      <c r="I151" s="77"/>
      <c r="J151" s="77"/>
      <c r="K151" s="77"/>
      <c r="L151" s="77"/>
      <c r="M151" s="77"/>
      <c r="N151" s="77"/>
      <c r="O151" s="77"/>
      <c r="P151" s="77"/>
      <c r="Q151" s="77"/>
      <c r="R151" s="77"/>
      <c r="S151" s="77"/>
      <c r="T151" s="77"/>
      <c r="U151" s="78"/>
      <c r="V151" s="47"/>
      <c r="W151" s="12"/>
    </row>
    <row r="152" ht="25.5" customHeight="1">
      <c r="A152" s="13"/>
      <c r="B152" s="50"/>
      <c r="C152" s="75"/>
      <c r="D152" t="s" s="76">
        <v>469</v>
      </c>
      <c r="E152" s="77"/>
      <c r="F152" s="77"/>
      <c r="G152" s="77"/>
      <c r="H152" s="77"/>
      <c r="I152" s="77"/>
      <c r="J152" s="77"/>
      <c r="K152" s="77"/>
      <c r="L152" s="77"/>
      <c r="M152" s="77"/>
      <c r="N152" s="77"/>
      <c r="O152" s="77"/>
      <c r="P152" s="77"/>
      <c r="Q152" s="77"/>
      <c r="R152" s="77"/>
      <c r="S152" s="77"/>
      <c r="T152" s="77"/>
      <c r="U152" s="78"/>
      <c r="V152" s="47"/>
      <c r="W152" s="12"/>
    </row>
    <row r="153" ht="25.5" customHeight="1">
      <c r="A153" s="13"/>
      <c r="B153" s="50"/>
      <c r="C153" s="75"/>
      <c r="D153" t="s" s="76">
        <v>470</v>
      </c>
      <c r="E153" s="77"/>
      <c r="F153" s="77"/>
      <c r="G153" s="77"/>
      <c r="H153" s="77"/>
      <c r="I153" s="77"/>
      <c r="J153" s="77"/>
      <c r="K153" s="77"/>
      <c r="L153" s="77"/>
      <c r="M153" s="77"/>
      <c r="N153" s="77"/>
      <c r="O153" s="77"/>
      <c r="P153" s="77"/>
      <c r="Q153" s="77"/>
      <c r="R153" s="77"/>
      <c r="S153" s="77"/>
      <c r="T153" s="77"/>
      <c r="U153" s="78"/>
      <c r="V153" s="47"/>
      <c r="W153" s="12"/>
    </row>
    <row r="154" ht="25.5" customHeight="1">
      <c r="A154" s="13"/>
      <c r="B154" s="50"/>
      <c r="C154" s="75"/>
      <c r="D154" t="s" s="76">
        <v>471</v>
      </c>
      <c r="E154" s="77"/>
      <c r="F154" s="77"/>
      <c r="G154" s="77"/>
      <c r="H154" s="77"/>
      <c r="I154" s="77"/>
      <c r="J154" s="77"/>
      <c r="K154" s="77"/>
      <c r="L154" s="77"/>
      <c r="M154" s="77"/>
      <c r="N154" s="77"/>
      <c r="O154" s="77"/>
      <c r="P154" s="77"/>
      <c r="Q154" s="77"/>
      <c r="R154" s="77"/>
      <c r="S154" s="77"/>
      <c r="T154" s="77"/>
      <c r="U154" s="78"/>
      <c r="V154" s="47"/>
      <c r="W154" s="12"/>
    </row>
    <row r="155" ht="25.5" customHeight="1">
      <c r="A155" s="13"/>
      <c r="B155" s="50"/>
      <c r="C155" s="75"/>
      <c r="D155" t="s" s="76">
        <v>472</v>
      </c>
      <c r="E155" s="77"/>
      <c r="F155" s="77"/>
      <c r="G155" s="77"/>
      <c r="H155" s="77"/>
      <c r="I155" s="77"/>
      <c r="J155" s="77"/>
      <c r="K155" s="77"/>
      <c r="L155" s="77"/>
      <c r="M155" s="77"/>
      <c r="N155" s="77"/>
      <c r="O155" s="77"/>
      <c r="P155" s="77"/>
      <c r="Q155" s="77"/>
      <c r="R155" s="77"/>
      <c r="S155" s="77"/>
      <c r="T155" s="77"/>
      <c r="U155" s="78"/>
      <c r="V155" s="47"/>
      <c r="W155" s="12"/>
    </row>
    <row r="156" ht="25.5" customHeight="1">
      <c r="A156" s="13"/>
      <c r="B156" s="50"/>
      <c r="C156" s="75"/>
      <c r="D156" t="s" s="76">
        <v>473</v>
      </c>
      <c r="E156" s="77"/>
      <c r="F156" s="77"/>
      <c r="G156" s="77"/>
      <c r="H156" s="77"/>
      <c r="I156" s="77"/>
      <c r="J156" s="77"/>
      <c r="K156" s="77"/>
      <c r="L156" s="77"/>
      <c r="M156" s="77"/>
      <c r="N156" s="77"/>
      <c r="O156" s="77"/>
      <c r="P156" s="77"/>
      <c r="Q156" s="77"/>
      <c r="R156" s="77"/>
      <c r="S156" s="77"/>
      <c r="T156" s="77"/>
      <c r="U156" s="78"/>
      <c r="V156" s="47"/>
      <c r="W156" s="12"/>
    </row>
    <row r="157" ht="25.5" customHeight="1">
      <c r="A157" s="13"/>
      <c r="B157" s="50"/>
      <c r="C157" s="75"/>
      <c r="D157" t="s" s="80">
        <v>474</v>
      </c>
      <c r="E157" s="81"/>
      <c r="F157" s="81"/>
      <c r="G157" s="81"/>
      <c r="H157" s="81"/>
      <c r="I157" s="81"/>
      <c r="J157" s="81"/>
      <c r="K157" s="81"/>
      <c r="L157" s="81"/>
      <c r="M157" s="81"/>
      <c r="N157" s="81"/>
      <c r="O157" s="81"/>
      <c r="P157" s="81"/>
      <c r="Q157" s="81"/>
      <c r="R157" s="81"/>
      <c r="S157" s="81"/>
      <c r="T157" s="81"/>
      <c r="U157" s="78"/>
      <c r="V157" s="47"/>
      <c r="W157" s="12"/>
    </row>
    <row r="158" ht="90" customHeight="1">
      <c r="A158" s="13"/>
      <c r="B158" s="50"/>
      <c r="C158" s="104"/>
      <c r="D158" s="113"/>
      <c r="E158" s="114"/>
      <c r="F158" s="114"/>
      <c r="G158" s="114"/>
      <c r="H158" s="114"/>
      <c r="I158" s="114"/>
      <c r="J158" s="114"/>
      <c r="K158" s="114"/>
      <c r="L158" s="114"/>
      <c r="M158" s="114"/>
      <c r="N158" s="114"/>
      <c r="O158" s="114"/>
      <c r="P158" s="114"/>
      <c r="Q158" s="114"/>
      <c r="R158" s="114"/>
      <c r="S158" s="114"/>
      <c r="T158" s="115"/>
      <c r="U158" s="104"/>
      <c r="V158" s="47"/>
      <c r="W158" s="12"/>
    </row>
    <row r="159" ht="8" customHeight="1">
      <c r="A159" s="13"/>
      <c r="B159" s="50"/>
      <c r="C159" s="79"/>
      <c r="D159" s="69"/>
      <c r="E159" s="69"/>
      <c r="F159" s="69"/>
      <c r="G159" s="69"/>
      <c r="H159" s="69"/>
      <c r="I159" s="69"/>
      <c r="J159" s="69"/>
      <c r="K159" s="69"/>
      <c r="L159" s="69"/>
      <c r="M159" s="69"/>
      <c r="N159" s="69"/>
      <c r="O159" s="69"/>
      <c r="P159" s="69"/>
      <c r="Q159" s="69"/>
      <c r="R159" s="69"/>
      <c r="S159" s="69"/>
      <c r="T159" s="69"/>
      <c r="U159" s="381"/>
      <c r="V159" s="47"/>
      <c r="W159" s="12"/>
    </row>
    <row r="160" ht="15.75" customHeight="1">
      <c r="A160" s="13"/>
      <c r="B160" s="11"/>
      <c r="C160" s="48"/>
      <c r="D160" s="48"/>
      <c r="E160" s="48"/>
      <c r="F160" s="48"/>
      <c r="G160" s="48"/>
      <c r="H160" s="48"/>
      <c r="I160" s="48"/>
      <c r="J160" s="48"/>
      <c r="K160" s="48"/>
      <c r="L160" s="48"/>
      <c r="M160" s="48"/>
      <c r="N160" s="48"/>
      <c r="O160" s="48"/>
      <c r="P160" s="48"/>
      <c r="Q160" s="48"/>
      <c r="R160" s="48"/>
      <c r="S160" s="48"/>
      <c r="T160" s="48"/>
      <c r="U160" s="48"/>
      <c r="V160" s="11"/>
      <c r="W160" s="12"/>
    </row>
    <row r="161" ht="15.75" customHeight="1">
      <c r="A161" t="s" s="95">
        <v>435</v>
      </c>
      <c r="B161" t="s" s="49">
        <v>173</v>
      </c>
      <c r="C161" t="s" s="97">
        <f>CONCATENATE(A161,B161)</f>
        <v>475</v>
      </c>
      <c r="D161" t="s" s="41">
        <v>476</v>
      </c>
      <c r="E161" s="42"/>
      <c r="F161" s="42"/>
      <c r="G161" s="42"/>
      <c r="H161" s="42"/>
      <c r="I161" s="11"/>
      <c r="J161" s="11"/>
      <c r="K161" s="11"/>
      <c r="L161" s="11"/>
      <c r="M161" s="11"/>
      <c r="N161" s="11"/>
      <c r="O161" s="11"/>
      <c r="P161" s="11"/>
      <c r="Q161" s="11"/>
      <c r="R161" s="11"/>
      <c r="S161" s="11"/>
      <c r="T161" s="11"/>
      <c r="U161" s="11"/>
      <c r="V161" s="11"/>
      <c r="W161" s="12"/>
    </row>
    <row r="162" ht="15.75" customHeight="1">
      <c r="A162" s="13"/>
      <c r="B162" s="11"/>
      <c r="C162" s="11"/>
      <c r="D162" s="11"/>
      <c r="E162" s="11"/>
      <c r="F162" s="11"/>
      <c r="G162" s="11"/>
      <c r="H162" s="11"/>
      <c r="I162" s="11"/>
      <c r="J162" s="11"/>
      <c r="K162" s="11"/>
      <c r="L162" s="11"/>
      <c r="M162" s="11"/>
      <c r="N162" s="11"/>
      <c r="O162" s="11"/>
      <c r="P162" s="11"/>
      <c r="Q162" s="11"/>
      <c r="R162" s="11"/>
      <c r="S162" s="11"/>
      <c r="T162" s="11"/>
      <c r="U162" s="11"/>
      <c r="V162" s="11"/>
      <c r="W162" s="12"/>
    </row>
    <row r="163" ht="48.75" customHeight="1">
      <c r="A163" s="13"/>
      <c r="B163" s="11"/>
      <c r="C163" t="s" s="394">
        <v>477</v>
      </c>
      <c r="D163" s="395"/>
      <c r="E163" s="395"/>
      <c r="F163" s="395"/>
      <c r="G163" s="395"/>
      <c r="H163" s="395"/>
      <c r="I163" s="395"/>
      <c r="J163" s="395"/>
      <c r="K163" s="395"/>
      <c r="L163" s="395"/>
      <c r="M163" s="395"/>
      <c r="N163" s="395"/>
      <c r="O163" s="395"/>
      <c r="P163" s="395"/>
      <c r="Q163" s="395"/>
      <c r="R163" s="395"/>
      <c r="S163" s="395"/>
      <c r="T163" s="395"/>
      <c r="U163" s="395"/>
      <c r="V163" s="11"/>
      <c r="W163" s="12"/>
    </row>
    <row r="164" ht="180" customHeight="1">
      <c r="A164" s="13"/>
      <c r="B164" s="50"/>
      <c r="C164" s="85"/>
      <c r="D164" s="86"/>
      <c r="E164" s="86"/>
      <c r="F164" s="86"/>
      <c r="G164" s="86"/>
      <c r="H164" s="86"/>
      <c r="I164" s="86"/>
      <c r="J164" s="86"/>
      <c r="K164" s="86"/>
      <c r="L164" s="86"/>
      <c r="M164" s="86"/>
      <c r="N164" s="86"/>
      <c r="O164" s="86"/>
      <c r="P164" s="86"/>
      <c r="Q164" s="86"/>
      <c r="R164" s="86"/>
      <c r="S164" s="86"/>
      <c r="T164" s="86"/>
      <c r="U164" s="87"/>
      <c r="V164" s="47"/>
      <c r="W164" s="12"/>
    </row>
    <row r="165" ht="15.75" customHeight="1">
      <c r="A165" s="13"/>
      <c r="B165" s="11"/>
      <c r="C165" s="48"/>
      <c r="D165" s="48"/>
      <c r="E165" s="48"/>
      <c r="F165" s="48"/>
      <c r="G165" s="48"/>
      <c r="H165" s="48"/>
      <c r="I165" s="48"/>
      <c r="J165" s="48"/>
      <c r="K165" s="48"/>
      <c r="L165" s="48"/>
      <c r="M165" s="48"/>
      <c r="N165" s="48"/>
      <c r="O165" s="48"/>
      <c r="P165" s="48"/>
      <c r="Q165" s="48"/>
      <c r="R165" s="48"/>
      <c r="S165" s="48"/>
      <c r="T165" s="48"/>
      <c r="U165" s="48"/>
      <c r="V165" s="11"/>
      <c r="W165" s="12"/>
    </row>
    <row r="166" ht="15.75" customHeight="1">
      <c r="A166" t="s" s="95">
        <v>435</v>
      </c>
      <c r="B166" t="s" s="49">
        <v>175</v>
      </c>
      <c r="C166" t="s" s="97">
        <f>CONCATENATE(A166,B166)</f>
        <v>478</v>
      </c>
      <c r="D166" t="s" s="41">
        <v>479</v>
      </c>
      <c r="E166" s="42"/>
      <c r="F166" s="42"/>
      <c r="G166" s="42"/>
      <c r="H166" s="42"/>
      <c r="I166" s="42"/>
      <c r="J166" s="42"/>
      <c r="K166" s="42"/>
      <c r="L166" s="42"/>
      <c r="M166" s="11"/>
      <c r="N166" s="11"/>
      <c r="O166" s="11"/>
      <c r="P166" s="11"/>
      <c r="Q166" s="11"/>
      <c r="R166" s="11"/>
      <c r="S166" s="11"/>
      <c r="T166" s="11"/>
      <c r="U166" s="11"/>
      <c r="V166" s="11"/>
      <c r="W166" s="12"/>
    </row>
    <row r="167" ht="30.95" customHeight="1">
      <c r="A167" s="13"/>
      <c r="B167" s="11"/>
      <c r="C167" t="s" s="384">
        <v>480</v>
      </c>
      <c r="D167" s="385"/>
      <c r="E167" s="385"/>
      <c r="F167" s="385"/>
      <c r="G167" s="385"/>
      <c r="H167" s="385"/>
      <c r="I167" s="385"/>
      <c r="J167" s="385"/>
      <c r="K167" s="385"/>
      <c r="L167" s="385"/>
      <c r="M167" s="385"/>
      <c r="N167" s="385"/>
      <c r="O167" s="385"/>
      <c r="P167" s="385"/>
      <c r="Q167" s="385"/>
      <c r="R167" s="385"/>
      <c r="S167" s="385"/>
      <c r="T167" s="385"/>
      <c r="U167" s="385"/>
      <c r="V167" s="11"/>
      <c r="W167" s="12"/>
    </row>
    <row r="168" ht="15.75" customHeight="1">
      <c r="A168" s="13"/>
      <c r="B168" s="11"/>
      <c r="C168" s="395"/>
      <c r="D168" s="395"/>
      <c r="E168" s="395"/>
      <c r="F168" s="395"/>
      <c r="G168" s="395"/>
      <c r="H168" s="395"/>
      <c r="I168" s="395"/>
      <c r="J168" s="395"/>
      <c r="K168" s="395"/>
      <c r="L168" s="395"/>
      <c r="M168" s="395"/>
      <c r="N168" s="395"/>
      <c r="O168" s="395"/>
      <c r="P168" s="395"/>
      <c r="Q168" s="395"/>
      <c r="R168" s="395"/>
      <c r="S168" s="395"/>
      <c r="T168" s="395"/>
      <c r="U168" s="395"/>
      <c r="V168" s="11"/>
      <c r="W168" s="12"/>
    </row>
    <row r="169" ht="24.95" customHeight="1">
      <c r="A169" s="13"/>
      <c r="B169" s="50"/>
      <c r="C169" t="s" s="408">
        <v>481</v>
      </c>
      <c r="D169" s="73"/>
      <c r="E169" s="73"/>
      <c r="F169" s="73"/>
      <c r="G169" s="73"/>
      <c r="H169" s="73"/>
      <c r="I169" s="73"/>
      <c r="J169" s="73"/>
      <c r="K169" s="73"/>
      <c r="L169" s="73"/>
      <c r="M169" s="73"/>
      <c r="N169" s="73"/>
      <c r="O169" s="73"/>
      <c r="P169" s="73"/>
      <c r="Q169" s="73"/>
      <c r="R169" s="73"/>
      <c r="S169" s="73"/>
      <c r="T169" s="73"/>
      <c r="U169" s="74"/>
      <c r="V169" s="47"/>
      <c r="W169" s="12"/>
    </row>
    <row r="170" ht="25.5" customHeight="1">
      <c r="A170" s="13"/>
      <c r="B170" s="50"/>
      <c r="C170" s="75"/>
      <c r="D170" t="s" s="76">
        <v>482</v>
      </c>
      <c r="E170" s="77"/>
      <c r="F170" s="77"/>
      <c r="G170" s="77"/>
      <c r="H170" s="77"/>
      <c r="I170" s="77"/>
      <c r="J170" s="77"/>
      <c r="K170" s="77"/>
      <c r="L170" s="77"/>
      <c r="M170" s="77"/>
      <c r="N170" s="77"/>
      <c r="O170" s="77"/>
      <c r="P170" s="77"/>
      <c r="Q170" s="77"/>
      <c r="R170" s="77"/>
      <c r="S170" s="77"/>
      <c r="T170" s="77"/>
      <c r="U170" s="78"/>
      <c r="V170" s="47"/>
      <c r="W170" s="12"/>
    </row>
    <row r="171" ht="25.5" customHeight="1">
      <c r="A171" s="13"/>
      <c r="B171" s="50"/>
      <c r="C171" s="75"/>
      <c r="D171" t="s" s="80">
        <v>483</v>
      </c>
      <c r="E171" s="81"/>
      <c r="F171" s="81"/>
      <c r="G171" s="81"/>
      <c r="H171" s="81"/>
      <c r="I171" s="81"/>
      <c r="J171" s="81"/>
      <c r="K171" s="81"/>
      <c r="L171" s="81"/>
      <c r="M171" s="81"/>
      <c r="N171" s="81"/>
      <c r="O171" s="81"/>
      <c r="P171" s="81"/>
      <c r="Q171" s="81"/>
      <c r="R171" s="81"/>
      <c r="S171" s="81"/>
      <c r="T171" s="81"/>
      <c r="U171" s="78"/>
      <c r="V171" s="47"/>
      <c r="W171" s="12"/>
    </row>
    <row r="172" ht="60" customHeight="1">
      <c r="A172" s="13"/>
      <c r="B172" s="50"/>
      <c r="C172" s="104"/>
      <c r="D172" s="105"/>
      <c r="E172" s="106"/>
      <c r="F172" s="106"/>
      <c r="G172" s="106"/>
      <c r="H172" s="106"/>
      <c r="I172" s="106"/>
      <c r="J172" s="106"/>
      <c r="K172" s="106"/>
      <c r="L172" s="106"/>
      <c r="M172" s="106"/>
      <c r="N172" s="106"/>
      <c r="O172" s="106"/>
      <c r="P172" s="106"/>
      <c r="Q172" s="106"/>
      <c r="R172" s="106"/>
      <c r="S172" s="106"/>
      <c r="T172" s="107"/>
      <c r="U172" s="104"/>
      <c r="V172" s="47"/>
      <c r="W172" s="12"/>
    </row>
    <row r="173" ht="24.95" customHeight="1">
      <c r="A173" s="13"/>
      <c r="B173" s="50"/>
      <c r="C173" t="s" s="409">
        <v>484</v>
      </c>
      <c r="D173" s="410"/>
      <c r="E173" s="410"/>
      <c r="F173" s="410"/>
      <c r="G173" s="410"/>
      <c r="H173" s="410"/>
      <c r="I173" s="410"/>
      <c r="J173" s="410"/>
      <c r="K173" s="410"/>
      <c r="L173" s="410"/>
      <c r="M173" s="410"/>
      <c r="N173" s="410"/>
      <c r="O173" s="410"/>
      <c r="P173" s="410"/>
      <c r="Q173" s="410"/>
      <c r="R173" s="410"/>
      <c r="S173" s="410"/>
      <c r="T173" s="410"/>
      <c r="U173" s="401"/>
      <c r="V173" s="47"/>
      <c r="W173" s="12"/>
    </row>
    <row r="174" ht="25.5" customHeight="1">
      <c r="A174" s="13"/>
      <c r="B174" s="50"/>
      <c r="C174" s="75"/>
      <c r="D174" s="112"/>
      <c r="E174" t="s" s="411">
        <v>485</v>
      </c>
      <c r="F174" s="112"/>
      <c r="G174" s="112"/>
      <c r="H174" s="112"/>
      <c r="I174" s="112"/>
      <c r="J174" s="112"/>
      <c r="K174" s="112"/>
      <c r="L174" s="112"/>
      <c r="M174" s="112"/>
      <c r="N174" s="112"/>
      <c r="O174" s="112"/>
      <c r="P174" s="112"/>
      <c r="Q174" s="112"/>
      <c r="R174" s="112"/>
      <c r="S174" s="112"/>
      <c r="T174" s="112"/>
      <c r="U174" s="117"/>
      <c r="V174" s="47"/>
      <c r="W174" s="12"/>
    </row>
    <row r="175" ht="25.5" customHeight="1">
      <c r="A175" s="13"/>
      <c r="B175" s="50"/>
      <c r="C175" s="75"/>
      <c r="D175" s="112"/>
      <c r="E175" t="s" s="412">
        <v>486</v>
      </c>
      <c r="F175" s="116"/>
      <c r="G175" s="116"/>
      <c r="H175" s="116"/>
      <c r="I175" s="116"/>
      <c r="J175" s="116"/>
      <c r="K175" s="116"/>
      <c r="L175" s="116"/>
      <c r="M175" s="116"/>
      <c r="N175" s="116"/>
      <c r="O175" s="116"/>
      <c r="P175" s="116"/>
      <c r="Q175" s="116"/>
      <c r="R175" s="116"/>
      <c r="S175" s="116"/>
      <c r="T175" s="116"/>
      <c r="U175" s="117"/>
      <c r="V175" s="47"/>
      <c r="W175" s="12"/>
    </row>
    <row r="176" ht="33.95" customHeight="1">
      <c r="A176" s="13"/>
      <c r="B176" s="50"/>
      <c r="C176" s="75"/>
      <c r="D176" s="117"/>
      <c r="E176" s="105"/>
      <c r="F176" s="106"/>
      <c r="G176" s="106"/>
      <c r="H176" s="106"/>
      <c r="I176" s="106"/>
      <c r="J176" s="106"/>
      <c r="K176" s="106"/>
      <c r="L176" s="106"/>
      <c r="M176" s="106"/>
      <c r="N176" s="106"/>
      <c r="O176" s="106"/>
      <c r="P176" s="106"/>
      <c r="Q176" s="106"/>
      <c r="R176" s="106"/>
      <c r="S176" s="106"/>
      <c r="T176" s="107"/>
      <c r="U176" s="104"/>
      <c r="V176" s="47"/>
      <c r="W176" s="12"/>
    </row>
    <row r="177" ht="25.5" customHeight="1">
      <c r="A177" s="13"/>
      <c r="B177" s="50"/>
      <c r="C177" s="75"/>
      <c r="D177" t="s" s="76">
        <v>487</v>
      </c>
      <c r="E177" s="73"/>
      <c r="F177" s="73"/>
      <c r="G177" s="73"/>
      <c r="H177" s="73"/>
      <c r="I177" s="73"/>
      <c r="J177" s="73"/>
      <c r="K177" s="73"/>
      <c r="L177" s="73"/>
      <c r="M177" s="73"/>
      <c r="N177" s="73"/>
      <c r="O177" s="73"/>
      <c r="P177" s="73"/>
      <c r="Q177" s="73"/>
      <c r="R177" s="73"/>
      <c r="S177" s="73"/>
      <c r="T177" s="73"/>
      <c r="U177" s="78"/>
      <c r="V177" s="47"/>
      <c r="W177" s="12"/>
    </row>
    <row r="178" ht="25.5" customHeight="1">
      <c r="A178" s="13"/>
      <c r="B178" s="50"/>
      <c r="C178" s="75"/>
      <c r="D178" s="112"/>
      <c r="E178" t="s" s="76">
        <v>488</v>
      </c>
      <c r="F178" s="77"/>
      <c r="G178" s="77"/>
      <c r="H178" s="77"/>
      <c r="I178" s="77"/>
      <c r="J178" s="77"/>
      <c r="K178" s="77"/>
      <c r="L178" s="77"/>
      <c r="M178" s="77"/>
      <c r="N178" s="77"/>
      <c r="O178" s="77"/>
      <c r="P178" s="77"/>
      <c r="Q178" s="77"/>
      <c r="R178" s="77"/>
      <c r="S178" s="77"/>
      <c r="T178" s="77"/>
      <c r="U178" s="78"/>
      <c r="V178" s="47"/>
      <c r="W178" s="12"/>
    </row>
    <row r="179" ht="25.5" customHeight="1">
      <c r="A179" s="13"/>
      <c r="B179" s="50"/>
      <c r="C179" s="75"/>
      <c r="D179" s="112"/>
      <c r="E179" t="s" s="76">
        <v>489</v>
      </c>
      <c r="F179" s="77"/>
      <c r="G179" s="77"/>
      <c r="H179" s="77"/>
      <c r="I179" s="77"/>
      <c r="J179" s="77"/>
      <c r="K179" s="77"/>
      <c r="L179" s="77"/>
      <c r="M179" s="77"/>
      <c r="N179" s="77"/>
      <c r="O179" s="77"/>
      <c r="P179" s="77"/>
      <c r="Q179" s="77"/>
      <c r="R179" s="77"/>
      <c r="S179" s="77"/>
      <c r="T179" s="77"/>
      <c r="U179" s="78"/>
      <c r="V179" s="47"/>
      <c r="W179" s="12"/>
    </row>
    <row r="180" ht="25.5" customHeight="1">
      <c r="A180" s="13"/>
      <c r="B180" s="50"/>
      <c r="C180" s="75"/>
      <c r="D180" s="112"/>
      <c r="E180" t="s" s="76">
        <v>490</v>
      </c>
      <c r="F180" s="77"/>
      <c r="G180" s="77"/>
      <c r="H180" s="77"/>
      <c r="I180" s="77"/>
      <c r="J180" s="77"/>
      <c r="K180" s="77"/>
      <c r="L180" s="77"/>
      <c r="M180" s="77"/>
      <c r="N180" s="77"/>
      <c r="O180" s="77"/>
      <c r="P180" s="77"/>
      <c r="Q180" s="77"/>
      <c r="R180" s="77"/>
      <c r="S180" s="77"/>
      <c r="T180" s="77"/>
      <c r="U180" s="78"/>
      <c r="V180" s="47"/>
      <c r="W180" s="12"/>
    </row>
    <row r="181" ht="25.5" customHeight="1">
      <c r="A181" s="13"/>
      <c r="B181" s="50"/>
      <c r="C181" s="75"/>
      <c r="D181" s="112"/>
      <c r="E181" t="s" s="76">
        <v>491</v>
      </c>
      <c r="F181" s="77"/>
      <c r="G181" s="77"/>
      <c r="H181" s="77"/>
      <c r="I181" s="77"/>
      <c r="J181" s="77"/>
      <c r="K181" s="77"/>
      <c r="L181" s="77"/>
      <c r="M181" s="77"/>
      <c r="N181" s="77"/>
      <c r="O181" s="77"/>
      <c r="P181" s="77"/>
      <c r="Q181" s="77"/>
      <c r="R181" s="77"/>
      <c r="S181" s="77"/>
      <c r="T181" s="77"/>
      <c r="U181" s="78"/>
      <c r="V181" s="47"/>
      <c r="W181" s="12"/>
    </row>
    <row r="182" ht="25.5" customHeight="1">
      <c r="A182" s="13"/>
      <c r="B182" s="50"/>
      <c r="C182" s="75"/>
      <c r="D182" s="112"/>
      <c r="E182" t="s" s="76">
        <v>492</v>
      </c>
      <c r="F182" s="77"/>
      <c r="G182" s="77"/>
      <c r="H182" s="77"/>
      <c r="I182" s="77"/>
      <c r="J182" s="77"/>
      <c r="K182" s="77"/>
      <c r="L182" s="77"/>
      <c r="M182" s="77"/>
      <c r="N182" s="77"/>
      <c r="O182" s="77"/>
      <c r="P182" s="77"/>
      <c r="Q182" s="77"/>
      <c r="R182" s="77"/>
      <c r="S182" s="77"/>
      <c r="T182" s="77"/>
      <c r="U182" s="78"/>
      <c r="V182" s="47"/>
      <c r="W182" s="12"/>
    </row>
    <row r="183" ht="25.5" customHeight="1">
      <c r="A183" s="13"/>
      <c r="B183" s="50"/>
      <c r="C183" s="75"/>
      <c r="D183" s="112"/>
      <c r="E183" t="s" s="76">
        <v>493</v>
      </c>
      <c r="F183" s="77"/>
      <c r="G183" s="77"/>
      <c r="H183" s="77"/>
      <c r="I183" s="77"/>
      <c r="J183" s="77"/>
      <c r="K183" s="77"/>
      <c r="L183" s="77"/>
      <c r="M183" s="77"/>
      <c r="N183" s="77"/>
      <c r="O183" s="77"/>
      <c r="P183" s="77"/>
      <c r="Q183" s="77"/>
      <c r="R183" s="77"/>
      <c r="S183" s="77"/>
      <c r="T183" s="77"/>
      <c r="U183" s="78"/>
      <c r="V183" s="47"/>
      <c r="W183" s="12"/>
    </row>
    <row r="184" ht="25.5" customHeight="1">
      <c r="A184" s="13"/>
      <c r="B184" s="50"/>
      <c r="C184" s="75"/>
      <c r="D184" s="112"/>
      <c r="E184" t="s" s="80">
        <v>494</v>
      </c>
      <c r="F184" s="81"/>
      <c r="G184" s="81"/>
      <c r="H184" s="81"/>
      <c r="I184" s="81"/>
      <c r="J184" s="81"/>
      <c r="K184" s="81"/>
      <c r="L184" s="81"/>
      <c r="M184" s="81"/>
      <c r="N184" s="81"/>
      <c r="O184" s="81"/>
      <c r="P184" s="81"/>
      <c r="Q184" s="81"/>
      <c r="R184" s="81"/>
      <c r="S184" s="81"/>
      <c r="T184" s="81"/>
      <c r="U184" s="78"/>
      <c r="V184" s="47"/>
      <c r="W184" s="12"/>
    </row>
    <row r="185" ht="33" customHeight="1">
      <c r="A185" s="13"/>
      <c r="B185" s="50"/>
      <c r="C185" s="75"/>
      <c r="D185" s="117"/>
      <c r="E185" s="105"/>
      <c r="F185" s="106"/>
      <c r="G185" s="106"/>
      <c r="H185" s="106"/>
      <c r="I185" s="106"/>
      <c r="J185" s="106"/>
      <c r="K185" s="106"/>
      <c r="L185" s="106"/>
      <c r="M185" s="106"/>
      <c r="N185" s="106"/>
      <c r="O185" s="106"/>
      <c r="P185" s="106"/>
      <c r="Q185" s="106"/>
      <c r="R185" s="106"/>
      <c r="S185" s="106"/>
      <c r="T185" s="107"/>
      <c r="U185" s="104"/>
      <c r="V185" s="47"/>
      <c r="W185" s="12"/>
    </row>
    <row r="186" ht="25.5" customHeight="1">
      <c r="A186" s="13"/>
      <c r="B186" s="50"/>
      <c r="C186" t="s" s="413">
        <v>495</v>
      </c>
      <c r="D186" s="81"/>
      <c r="E186" s="109"/>
      <c r="F186" s="109"/>
      <c r="G186" s="109"/>
      <c r="H186" s="109"/>
      <c r="I186" s="109"/>
      <c r="J186" s="109"/>
      <c r="K186" s="109"/>
      <c r="L186" s="109"/>
      <c r="M186" s="109"/>
      <c r="N186" s="109"/>
      <c r="O186" s="109"/>
      <c r="P186" s="109"/>
      <c r="Q186" s="109"/>
      <c r="R186" s="109"/>
      <c r="S186" s="109"/>
      <c r="T186" s="109"/>
      <c r="U186" s="78"/>
      <c r="V186" s="47"/>
      <c r="W186" s="12"/>
    </row>
    <row r="187" ht="33.95" customHeight="1">
      <c r="A187" s="13"/>
      <c r="B187" s="50"/>
      <c r="C187" s="104"/>
      <c r="D187" s="105"/>
      <c r="E187" s="106"/>
      <c r="F187" s="106"/>
      <c r="G187" s="106"/>
      <c r="H187" s="106"/>
      <c r="I187" s="106"/>
      <c r="J187" s="106"/>
      <c r="K187" s="106"/>
      <c r="L187" s="106"/>
      <c r="M187" s="106"/>
      <c r="N187" s="106"/>
      <c r="O187" s="106"/>
      <c r="P187" s="106"/>
      <c r="Q187" s="106"/>
      <c r="R187" s="106"/>
      <c r="S187" s="106"/>
      <c r="T187" s="107"/>
      <c r="U187" s="108"/>
      <c r="V187" s="47"/>
      <c r="W187" s="12"/>
    </row>
    <row r="188" ht="25.5" customHeight="1">
      <c r="A188" s="13"/>
      <c r="B188" s="50"/>
      <c r="C188" s="75"/>
      <c r="D188" t="s" s="414">
        <v>496</v>
      </c>
      <c r="E188" s="415"/>
      <c r="F188" s="415"/>
      <c r="G188" s="415"/>
      <c r="H188" s="415"/>
      <c r="I188" s="415"/>
      <c r="J188" s="415"/>
      <c r="K188" s="415"/>
      <c r="L188" s="415"/>
      <c r="M188" s="415"/>
      <c r="N188" s="415"/>
      <c r="O188" s="415"/>
      <c r="P188" s="415"/>
      <c r="Q188" s="415"/>
      <c r="R188" s="415"/>
      <c r="S188" s="415"/>
      <c r="T188" s="415"/>
      <c r="U188" s="416"/>
      <c r="V188" s="47"/>
      <c r="W188" s="12"/>
    </row>
    <row r="189" ht="60" customHeight="1">
      <c r="A189" s="13"/>
      <c r="B189" s="50"/>
      <c r="C189" s="104"/>
      <c r="D189" s="105"/>
      <c r="E189" s="106"/>
      <c r="F189" s="106"/>
      <c r="G189" s="106"/>
      <c r="H189" s="106"/>
      <c r="I189" s="106"/>
      <c r="J189" s="106"/>
      <c r="K189" s="106"/>
      <c r="L189" s="106"/>
      <c r="M189" s="106"/>
      <c r="N189" s="106"/>
      <c r="O189" s="106"/>
      <c r="P189" s="106"/>
      <c r="Q189" s="106"/>
      <c r="R189" s="106"/>
      <c r="S189" s="106"/>
      <c r="T189" s="107"/>
      <c r="U189" s="108"/>
      <c r="V189" s="47"/>
      <c r="W189" s="12"/>
    </row>
    <row r="190" ht="8" customHeight="1">
      <c r="A190" s="13"/>
      <c r="B190" s="50"/>
      <c r="C190" s="79"/>
      <c r="D190" s="69"/>
      <c r="E190" s="69"/>
      <c r="F190" s="69"/>
      <c r="G190" s="69"/>
      <c r="H190" s="69"/>
      <c r="I190" s="69"/>
      <c r="J190" s="69"/>
      <c r="K190" s="69"/>
      <c r="L190" s="69"/>
      <c r="M190" s="69"/>
      <c r="N190" s="69"/>
      <c r="O190" s="69"/>
      <c r="P190" s="69"/>
      <c r="Q190" s="69"/>
      <c r="R190" s="69"/>
      <c r="S190" s="69"/>
      <c r="T190" s="69"/>
      <c r="U190" s="381"/>
      <c r="V190" s="47"/>
      <c r="W190" s="12"/>
    </row>
    <row r="191" ht="15.75" customHeight="1">
      <c r="A191" s="13"/>
      <c r="B191" s="11"/>
      <c r="C191" s="48"/>
      <c r="D191" s="48"/>
      <c r="E191" s="48"/>
      <c r="F191" s="48"/>
      <c r="G191" s="48"/>
      <c r="H191" s="48"/>
      <c r="I191" s="48"/>
      <c r="J191" s="48"/>
      <c r="K191" s="48"/>
      <c r="L191" s="48"/>
      <c r="M191" s="48"/>
      <c r="N191" s="48"/>
      <c r="O191" s="48"/>
      <c r="P191" s="48"/>
      <c r="Q191" s="48"/>
      <c r="R191" s="48"/>
      <c r="S191" s="48"/>
      <c r="T191" s="48"/>
      <c r="U191" s="48"/>
      <c r="V191" s="11"/>
      <c r="W191" s="12"/>
    </row>
    <row r="192" ht="33.75" customHeight="1">
      <c r="A192" t="s" s="95">
        <v>435</v>
      </c>
      <c r="B192" t="s" s="49">
        <v>138</v>
      </c>
      <c r="C192" t="s" s="99">
        <f>CONCATENATE(A192,B192)</f>
        <v>497</v>
      </c>
      <c r="D192" t="s" s="100">
        <v>498</v>
      </c>
      <c r="E192" s="101"/>
      <c r="F192" s="101"/>
      <c r="G192" s="101"/>
      <c r="H192" s="101"/>
      <c r="I192" s="101"/>
      <c r="J192" s="101"/>
      <c r="K192" s="101"/>
      <c r="L192" s="101"/>
      <c r="M192" s="101"/>
      <c r="N192" s="101"/>
      <c r="O192" s="101"/>
      <c r="P192" s="101"/>
      <c r="Q192" s="101"/>
      <c r="R192" s="101"/>
      <c r="S192" s="101"/>
      <c r="T192" s="101"/>
      <c r="U192" s="101"/>
      <c r="V192" s="11"/>
      <c r="W192" s="12"/>
    </row>
    <row r="193" ht="15.75" customHeight="1">
      <c r="A193" s="13"/>
      <c r="B193" s="11"/>
      <c r="C193" s="11"/>
      <c r="D193" s="11"/>
      <c r="E193" s="11"/>
      <c r="F193" s="11"/>
      <c r="G193" s="11"/>
      <c r="H193" s="11"/>
      <c r="I193" s="11"/>
      <c r="J193" s="11"/>
      <c r="K193" s="11"/>
      <c r="L193" s="11"/>
      <c r="M193" s="11"/>
      <c r="N193" s="11"/>
      <c r="O193" s="11"/>
      <c r="P193" s="11"/>
      <c r="Q193" s="11"/>
      <c r="R193" s="11"/>
      <c r="S193" s="11"/>
      <c r="T193" s="11"/>
      <c r="U193" s="11"/>
      <c r="V193" s="11"/>
      <c r="W193" s="12"/>
    </row>
    <row r="194" ht="15.75" customHeight="1">
      <c r="A194" s="13"/>
      <c r="B194" s="11"/>
      <c r="C194" t="s" s="83">
        <v>499</v>
      </c>
      <c r="D194" s="84"/>
      <c r="E194" s="84"/>
      <c r="F194" s="84"/>
      <c r="G194" s="84"/>
      <c r="H194" s="84"/>
      <c r="I194" s="84"/>
      <c r="J194" s="84"/>
      <c r="K194" s="84"/>
      <c r="L194" s="40"/>
      <c r="M194" s="40"/>
      <c r="N194" s="40"/>
      <c r="O194" s="40"/>
      <c r="P194" s="40"/>
      <c r="Q194" s="40"/>
      <c r="R194" s="40"/>
      <c r="S194" s="40"/>
      <c r="T194" s="40"/>
      <c r="U194" s="40"/>
      <c r="V194" s="11"/>
      <c r="W194" s="12"/>
    </row>
    <row r="195" ht="33.95" customHeight="1">
      <c r="A195" s="13"/>
      <c r="B195" s="50"/>
      <c r="C195" s="68"/>
      <c r="D195" t="s" s="120">
        <v>500</v>
      </c>
      <c r="E195" t="s" s="52">
        <v>501</v>
      </c>
      <c r="F195" s="57"/>
      <c r="G195" s="57"/>
      <c r="H195" s="57"/>
      <c r="I195" s="57"/>
      <c r="J195" s="57"/>
      <c r="K195" s="57"/>
      <c r="L195" s="57"/>
      <c r="M195" s="57"/>
      <c r="N195" s="57"/>
      <c r="O195" s="57"/>
      <c r="P195" s="57"/>
      <c r="Q195" s="57"/>
      <c r="R195" s="57"/>
      <c r="S195" s="57"/>
      <c r="T195" s="57"/>
      <c r="U195" s="58"/>
      <c r="V195" s="47"/>
      <c r="W195" s="12"/>
    </row>
    <row r="196" ht="33.95" customHeight="1">
      <c r="A196" s="13"/>
      <c r="B196" s="50"/>
      <c r="C196" s="68"/>
      <c r="D196" t="s" s="120">
        <v>502</v>
      </c>
      <c r="E196" t="s" s="52">
        <v>503</v>
      </c>
      <c r="F196" s="57"/>
      <c r="G196" s="57"/>
      <c r="H196" s="57"/>
      <c r="I196" s="57"/>
      <c r="J196" s="57"/>
      <c r="K196" s="57"/>
      <c r="L196" s="57"/>
      <c r="M196" s="57"/>
      <c r="N196" s="57"/>
      <c r="O196" s="57"/>
      <c r="P196" s="57"/>
      <c r="Q196" s="57"/>
      <c r="R196" s="57"/>
      <c r="S196" s="57"/>
      <c r="T196" s="57"/>
      <c r="U196" s="58"/>
      <c r="V196" s="47"/>
      <c r="W196" s="12"/>
    </row>
    <row r="197" ht="24.95" customHeight="1">
      <c r="A197" s="13"/>
      <c r="B197" s="50"/>
      <c r="C197" s="417"/>
      <c r="D197" t="s" s="120">
        <v>504</v>
      </c>
      <c r="E197" t="s" s="52">
        <v>505</v>
      </c>
      <c r="F197" s="57"/>
      <c r="G197" s="57"/>
      <c r="H197" s="57"/>
      <c r="I197" s="57"/>
      <c r="J197" s="57"/>
      <c r="K197" s="57"/>
      <c r="L197" s="57"/>
      <c r="M197" s="57"/>
      <c r="N197" s="57"/>
      <c r="O197" s="57"/>
      <c r="P197" s="57"/>
      <c r="Q197" s="57"/>
      <c r="R197" s="57"/>
      <c r="S197" s="57"/>
      <c r="T197" s="57"/>
      <c r="U197" s="58"/>
      <c r="V197" s="47"/>
      <c r="W197" s="12"/>
    </row>
    <row r="198" ht="24.95" customHeight="1">
      <c r="A198" s="13"/>
      <c r="B198" s="50"/>
      <c r="C198" s="68"/>
      <c r="D198" t="s" s="120">
        <v>506</v>
      </c>
      <c r="E198" t="s" s="52">
        <v>507</v>
      </c>
      <c r="F198" s="57"/>
      <c r="G198" s="57"/>
      <c r="H198" s="57"/>
      <c r="I198" s="57"/>
      <c r="J198" s="57"/>
      <c r="K198" s="57"/>
      <c r="L198" s="57"/>
      <c r="M198" s="57"/>
      <c r="N198" s="57"/>
      <c r="O198" s="57"/>
      <c r="P198" s="57"/>
      <c r="Q198" s="57"/>
      <c r="R198" s="57"/>
      <c r="S198" s="57"/>
      <c r="T198" s="57"/>
      <c r="U198" s="58"/>
      <c r="V198" s="47"/>
      <c r="W198" s="12"/>
    </row>
    <row r="199" ht="33.95" customHeight="1">
      <c r="A199" s="13"/>
      <c r="B199" s="50"/>
      <c r="C199" s="68"/>
      <c r="D199" t="s" s="120">
        <v>508</v>
      </c>
      <c r="E199" t="s" s="52">
        <v>509</v>
      </c>
      <c r="F199" s="57"/>
      <c r="G199" s="57"/>
      <c r="H199" s="57"/>
      <c r="I199" s="57"/>
      <c r="J199" s="57"/>
      <c r="K199" s="57"/>
      <c r="L199" s="57"/>
      <c r="M199" s="57"/>
      <c r="N199" s="57"/>
      <c r="O199" s="57"/>
      <c r="P199" s="57"/>
      <c r="Q199" s="57"/>
      <c r="R199" s="57"/>
      <c r="S199" s="57"/>
      <c r="T199" s="57"/>
      <c r="U199" s="58"/>
      <c r="V199" s="47"/>
      <c r="W199" s="12"/>
    </row>
    <row r="200" ht="33.95" customHeight="1">
      <c r="A200" s="13"/>
      <c r="B200" s="50"/>
      <c r="C200" s="68"/>
      <c r="D200" t="s" s="120">
        <v>510</v>
      </c>
      <c r="E200" t="s" s="52">
        <v>511</v>
      </c>
      <c r="F200" s="57"/>
      <c r="G200" s="57"/>
      <c r="H200" s="57"/>
      <c r="I200" s="57"/>
      <c r="J200" s="57"/>
      <c r="K200" s="57"/>
      <c r="L200" s="57"/>
      <c r="M200" s="57"/>
      <c r="N200" s="57"/>
      <c r="O200" s="57"/>
      <c r="P200" s="57"/>
      <c r="Q200" s="57"/>
      <c r="R200" s="57"/>
      <c r="S200" s="57"/>
      <c r="T200" s="57"/>
      <c r="U200" s="58"/>
      <c r="V200" s="47"/>
      <c r="W200" s="12"/>
    </row>
    <row r="201" ht="33.95" customHeight="1">
      <c r="A201" s="13"/>
      <c r="B201" s="50"/>
      <c r="C201" s="68"/>
      <c r="D201" t="s" s="120">
        <v>512</v>
      </c>
      <c r="E201" t="s" s="52">
        <v>513</v>
      </c>
      <c r="F201" s="57"/>
      <c r="G201" s="57"/>
      <c r="H201" s="57"/>
      <c r="I201" s="57"/>
      <c r="J201" s="57"/>
      <c r="K201" s="57"/>
      <c r="L201" s="57"/>
      <c r="M201" s="57"/>
      <c r="N201" s="57"/>
      <c r="O201" s="57"/>
      <c r="P201" s="57"/>
      <c r="Q201" s="57"/>
      <c r="R201" s="57"/>
      <c r="S201" s="57"/>
      <c r="T201" s="57"/>
      <c r="U201" s="58"/>
      <c r="V201" s="47"/>
      <c r="W201" s="12"/>
    </row>
    <row r="202" ht="24.95" customHeight="1">
      <c r="A202" s="13"/>
      <c r="B202" s="50"/>
      <c r="C202" s="68"/>
      <c r="D202" t="s" s="120">
        <v>514</v>
      </c>
      <c r="E202" t="s" s="52">
        <v>515</v>
      </c>
      <c r="F202" s="57"/>
      <c r="G202" s="57"/>
      <c r="H202" s="57"/>
      <c r="I202" s="57"/>
      <c r="J202" s="57"/>
      <c r="K202" s="57"/>
      <c r="L202" s="57"/>
      <c r="M202" s="57"/>
      <c r="N202" s="57"/>
      <c r="O202" s="57"/>
      <c r="P202" s="57"/>
      <c r="Q202" s="57"/>
      <c r="R202" s="57"/>
      <c r="S202" s="57"/>
      <c r="T202" s="57"/>
      <c r="U202" s="58"/>
      <c r="V202" s="47"/>
      <c r="W202" s="12"/>
    </row>
    <row r="203" ht="24.95" customHeight="1">
      <c r="A203" s="13"/>
      <c r="B203" s="50"/>
      <c r="C203" s="71"/>
      <c r="D203" t="s" s="118">
        <v>516</v>
      </c>
      <c r="E203" t="s" s="52">
        <v>517</v>
      </c>
      <c r="F203" s="57"/>
      <c r="G203" s="57"/>
      <c r="H203" s="57"/>
      <c r="I203" s="57"/>
      <c r="J203" s="57"/>
      <c r="K203" s="57"/>
      <c r="L203" s="57"/>
      <c r="M203" s="57"/>
      <c r="N203" s="57"/>
      <c r="O203" s="57"/>
      <c r="P203" s="57"/>
      <c r="Q203" s="57"/>
      <c r="R203" s="57"/>
      <c r="S203" s="57"/>
      <c r="T203" s="57"/>
      <c r="U203" s="418"/>
      <c r="V203" s="47"/>
      <c r="W203" s="12"/>
    </row>
    <row r="204" ht="33.95" customHeight="1">
      <c r="A204" s="13"/>
      <c r="B204" s="50"/>
      <c r="C204" s="75"/>
      <c r="D204" s="117"/>
      <c r="E204" s="105"/>
      <c r="F204" s="106"/>
      <c r="G204" s="106"/>
      <c r="H204" s="106"/>
      <c r="I204" s="106"/>
      <c r="J204" s="106"/>
      <c r="K204" s="106"/>
      <c r="L204" s="106"/>
      <c r="M204" s="106"/>
      <c r="N204" s="106"/>
      <c r="O204" s="106"/>
      <c r="P204" s="106"/>
      <c r="Q204" s="106"/>
      <c r="R204" s="106"/>
      <c r="S204" s="106"/>
      <c r="T204" s="107"/>
      <c r="U204" s="419"/>
      <c r="V204" s="47"/>
      <c r="W204" s="12"/>
    </row>
    <row r="205" ht="9.95" customHeight="1">
      <c r="A205" s="13"/>
      <c r="B205" s="50"/>
      <c r="C205" s="79"/>
      <c r="D205" s="116"/>
      <c r="E205" s="57"/>
      <c r="F205" s="57"/>
      <c r="G205" s="57"/>
      <c r="H205" s="57"/>
      <c r="I205" s="57"/>
      <c r="J205" s="57"/>
      <c r="K205" s="57"/>
      <c r="L205" s="57"/>
      <c r="M205" s="57"/>
      <c r="N205" s="57"/>
      <c r="O205" s="57"/>
      <c r="P205" s="57"/>
      <c r="Q205" s="57"/>
      <c r="R205" s="57"/>
      <c r="S205" s="57"/>
      <c r="T205" s="57"/>
      <c r="U205" s="420"/>
      <c r="V205" s="47"/>
      <c r="W205" s="12"/>
    </row>
    <row r="206" ht="24.95" customHeight="1">
      <c r="A206" s="13"/>
      <c r="B206" s="50"/>
      <c r="C206" s="71"/>
      <c r="D206" t="s" s="118">
        <v>518</v>
      </c>
      <c r="E206" t="s" s="52">
        <v>519</v>
      </c>
      <c r="F206" s="57"/>
      <c r="G206" s="57"/>
      <c r="H206" s="57"/>
      <c r="I206" s="57"/>
      <c r="J206" s="57"/>
      <c r="K206" s="57"/>
      <c r="L206" s="57"/>
      <c r="M206" s="57"/>
      <c r="N206" s="57"/>
      <c r="O206" s="57"/>
      <c r="P206" s="57"/>
      <c r="Q206" s="57"/>
      <c r="R206" s="57"/>
      <c r="S206" s="57"/>
      <c r="T206" s="57"/>
      <c r="U206" s="418"/>
      <c r="V206" s="47"/>
      <c r="W206" s="12"/>
    </row>
    <row r="207" ht="33.95" customHeight="1">
      <c r="A207" s="13"/>
      <c r="B207" s="50"/>
      <c r="C207" s="75"/>
      <c r="D207" s="117"/>
      <c r="E207" s="105"/>
      <c r="F207" s="106"/>
      <c r="G207" s="106"/>
      <c r="H207" s="106"/>
      <c r="I207" s="106"/>
      <c r="J207" s="106"/>
      <c r="K207" s="106"/>
      <c r="L207" s="106"/>
      <c r="M207" s="106"/>
      <c r="N207" s="106"/>
      <c r="O207" s="106"/>
      <c r="P207" s="106"/>
      <c r="Q207" s="106"/>
      <c r="R207" s="106"/>
      <c r="S207" s="106"/>
      <c r="T207" s="107"/>
      <c r="U207" s="421"/>
      <c r="V207" s="47"/>
      <c r="W207" s="12"/>
    </row>
    <row r="208" ht="9.95" customHeight="1">
      <c r="A208" s="13"/>
      <c r="B208" s="50"/>
      <c r="C208" s="79"/>
      <c r="D208" s="116"/>
      <c r="E208" s="69"/>
      <c r="F208" s="69"/>
      <c r="G208" s="69"/>
      <c r="H208" s="69"/>
      <c r="I208" s="69"/>
      <c r="J208" s="69"/>
      <c r="K208" s="69"/>
      <c r="L208" s="69"/>
      <c r="M208" s="69"/>
      <c r="N208" s="69"/>
      <c r="O208" s="69"/>
      <c r="P208" s="69"/>
      <c r="Q208" s="69"/>
      <c r="R208" s="69"/>
      <c r="S208" s="69"/>
      <c r="T208" s="69"/>
      <c r="U208" s="381"/>
      <c r="V208" s="47"/>
      <c r="W208" s="12"/>
    </row>
    <row r="209" ht="15.75" customHeight="1">
      <c r="A209" s="13"/>
      <c r="B209" s="11"/>
      <c r="C209" s="48"/>
      <c r="D209" s="48"/>
      <c r="E209" s="48"/>
      <c r="F209" s="48"/>
      <c r="G209" s="48"/>
      <c r="H209" s="48"/>
      <c r="I209" s="48"/>
      <c r="J209" s="48"/>
      <c r="K209" s="48"/>
      <c r="L209" s="48"/>
      <c r="M209" s="48"/>
      <c r="N209" s="48"/>
      <c r="O209" s="48"/>
      <c r="P209" s="48"/>
      <c r="Q209" s="48"/>
      <c r="R209" s="48"/>
      <c r="S209" s="48"/>
      <c r="T209" s="48"/>
      <c r="U209" s="48"/>
      <c r="V209" s="11"/>
      <c r="W209" s="12"/>
    </row>
    <row r="210" ht="15.75" customHeight="1">
      <c r="A210" s="13"/>
      <c r="B210" s="11"/>
      <c r="C210" t="s" s="102">
        <v>520</v>
      </c>
      <c r="D210" s="103"/>
      <c r="E210" s="103"/>
      <c r="F210" s="103"/>
      <c r="G210" s="103"/>
      <c r="H210" s="103"/>
      <c r="I210" s="103"/>
      <c r="J210" s="103"/>
      <c r="K210" s="103"/>
      <c r="L210" s="103"/>
      <c r="M210" s="103"/>
      <c r="N210" s="103"/>
      <c r="O210" s="40"/>
      <c r="P210" s="40"/>
      <c r="Q210" s="40"/>
      <c r="R210" s="40"/>
      <c r="S210" s="40"/>
      <c r="T210" s="40"/>
      <c r="U210" s="40"/>
      <c r="V210" s="11"/>
      <c r="W210" s="12"/>
    </row>
    <row r="211" ht="60" customHeight="1">
      <c r="A211" s="13"/>
      <c r="B211" s="50"/>
      <c r="C211" s="85"/>
      <c r="D211" s="86"/>
      <c r="E211" s="86"/>
      <c r="F211" s="86"/>
      <c r="G211" s="86"/>
      <c r="H211" s="86"/>
      <c r="I211" s="86"/>
      <c r="J211" s="86"/>
      <c r="K211" s="86"/>
      <c r="L211" s="86"/>
      <c r="M211" s="86"/>
      <c r="N211" s="86"/>
      <c r="O211" s="86"/>
      <c r="P211" s="86"/>
      <c r="Q211" s="86"/>
      <c r="R211" s="86"/>
      <c r="S211" s="86"/>
      <c r="T211" s="86"/>
      <c r="U211" s="87"/>
      <c r="V211" s="47"/>
      <c r="W211" s="12"/>
    </row>
    <row r="212" ht="15.75" customHeight="1">
      <c r="A212" s="13"/>
      <c r="B212" s="11"/>
      <c r="C212" s="48"/>
      <c r="D212" s="48"/>
      <c r="E212" s="48"/>
      <c r="F212" s="48"/>
      <c r="G212" s="48"/>
      <c r="H212" s="48"/>
      <c r="I212" s="48"/>
      <c r="J212" s="48"/>
      <c r="K212" s="48"/>
      <c r="L212" s="48"/>
      <c r="M212" s="48"/>
      <c r="N212" s="48"/>
      <c r="O212" s="48"/>
      <c r="P212" s="48"/>
      <c r="Q212" s="48"/>
      <c r="R212" s="48"/>
      <c r="S212" s="48"/>
      <c r="T212" s="48"/>
      <c r="U212" s="48"/>
      <c r="V212" s="11"/>
      <c r="W212" s="12"/>
    </row>
    <row r="213" ht="18.75" customHeight="1">
      <c r="A213" s="13"/>
      <c r="B213" s="11"/>
      <c r="C213" t="s" s="422">
        <v>521</v>
      </c>
      <c r="D213" s="423"/>
      <c r="E213" t="s" s="422">
        <v>522</v>
      </c>
      <c r="F213" s="423"/>
      <c r="G213" s="423"/>
      <c r="H213" s="423"/>
      <c r="I213" s="423"/>
      <c r="J213" s="423"/>
      <c r="K213" s="423"/>
      <c r="L213" s="423"/>
      <c r="M213" s="423"/>
      <c r="N213" s="423"/>
      <c r="O213" s="423"/>
      <c r="P213" s="423"/>
      <c r="Q213" s="423"/>
      <c r="R213" s="423"/>
      <c r="S213" s="423"/>
      <c r="T213" s="423"/>
      <c r="U213" s="423"/>
      <c r="V213" s="11"/>
      <c r="W213" s="12"/>
    </row>
    <row r="214" ht="15.75" customHeight="1">
      <c r="A214" s="13"/>
      <c r="B214" s="11"/>
      <c r="C214" s="11"/>
      <c r="D214" s="11"/>
      <c r="E214" s="11"/>
      <c r="F214" s="11"/>
      <c r="G214" s="11"/>
      <c r="H214" s="11"/>
      <c r="I214" s="11"/>
      <c r="J214" s="11"/>
      <c r="K214" s="11"/>
      <c r="L214" s="11"/>
      <c r="M214" s="11"/>
      <c r="N214" s="11"/>
      <c r="O214" s="11"/>
      <c r="P214" s="11"/>
      <c r="Q214" s="11"/>
      <c r="R214" s="11"/>
      <c r="S214" s="11"/>
      <c r="T214" s="11"/>
      <c r="U214" s="11"/>
      <c r="V214" s="11"/>
      <c r="W214" s="12"/>
    </row>
    <row r="215" ht="15.75" customHeight="1">
      <c r="A215" t="s" s="95">
        <v>523</v>
      </c>
      <c r="B215" s="96">
        <v>1</v>
      </c>
      <c r="C215" t="s" s="97">
        <f>CONCATENATE(A215,B215)</f>
        <v>524</v>
      </c>
      <c r="D215" t="s" s="41">
        <v>525</v>
      </c>
      <c r="E215" s="42"/>
      <c r="F215" s="42"/>
      <c r="G215" s="42"/>
      <c r="H215" s="42"/>
      <c r="I215" s="11"/>
      <c r="J215" s="11"/>
      <c r="K215" s="11"/>
      <c r="L215" s="11"/>
      <c r="M215" s="11"/>
      <c r="N215" s="11"/>
      <c r="O215" s="11"/>
      <c r="P215" s="11"/>
      <c r="Q215" s="11"/>
      <c r="R215" s="11"/>
      <c r="S215" s="11"/>
      <c r="T215" s="11"/>
      <c r="U215" s="11"/>
      <c r="V215" s="11"/>
      <c r="W215" s="12"/>
    </row>
    <row r="216" ht="15.75" customHeight="1">
      <c r="A216" s="13"/>
      <c r="B216" s="11"/>
      <c r="C216" s="40"/>
      <c r="D216" s="40"/>
      <c r="E216" s="40"/>
      <c r="F216" s="40"/>
      <c r="G216" s="40"/>
      <c r="H216" s="40"/>
      <c r="I216" s="40"/>
      <c r="J216" s="40"/>
      <c r="K216" s="40"/>
      <c r="L216" s="40"/>
      <c r="M216" s="40"/>
      <c r="N216" s="40"/>
      <c r="O216" s="40"/>
      <c r="P216" s="40"/>
      <c r="Q216" s="40"/>
      <c r="R216" s="40"/>
      <c r="S216" s="40"/>
      <c r="T216" s="40"/>
      <c r="U216" s="40"/>
      <c r="V216" s="11"/>
      <c r="W216" s="12"/>
    </row>
    <row r="217" ht="24.95" customHeight="1">
      <c r="A217" s="13"/>
      <c r="B217" s="50"/>
      <c r="C217" s="71"/>
      <c r="D217" t="s" s="424">
        <v>59</v>
      </c>
      <c r="E217" s="410"/>
      <c r="F217" s="410"/>
      <c r="G217" s="410"/>
      <c r="H217" s="57"/>
      <c r="I217" s="57"/>
      <c r="J217" s="57"/>
      <c r="K217" s="57"/>
      <c r="L217" s="57"/>
      <c r="M217" s="57"/>
      <c r="N217" s="57"/>
      <c r="O217" s="57"/>
      <c r="P217" s="57"/>
      <c r="Q217" s="57"/>
      <c r="R217" s="57"/>
      <c r="S217" s="57"/>
      <c r="T217" s="57"/>
      <c r="U217" s="418"/>
      <c r="V217" s="47"/>
      <c r="W217" s="12"/>
    </row>
    <row r="218" ht="24.95" customHeight="1">
      <c r="A218" s="13"/>
      <c r="B218" s="50"/>
      <c r="C218" s="75"/>
      <c r="D218" t="s" s="76">
        <v>526</v>
      </c>
      <c r="E218" s="77"/>
      <c r="F218" s="77"/>
      <c r="G218" s="78"/>
      <c r="H218" s="113"/>
      <c r="I218" s="114"/>
      <c r="J218" s="114"/>
      <c r="K218" s="114"/>
      <c r="L218" s="114"/>
      <c r="M218" s="114"/>
      <c r="N218" s="114"/>
      <c r="O218" s="114"/>
      <c r="P218" s="114"/>
      <c r="Q218" s="114"/>
      <c r="R218" s="114"/>
      <c r="S218" s="114"/>
      <c r="T218" s="115"/>
      <c r="U218" s="104"/>
      <c r="V218" s="47"/>
      <c r="W218" s="12"/>
    </row>
    <row r="219" ht="9.95" customHeight="1">
      <c r="A219" s="13"/>
      <c r="B219" s="50"/>
      <c r="C219" s="75"/>
      <c r="D219" s="112"/>
      <c r="E219" s="112"/>
      <c r="F219" s="112"/>
      <c r="G219" s="112"/>
      <c r="H219" s="69"/>
      <c r="I219" s="69"/>
      <c r="J219" s="69"/>
      <c r="K219" s="69"/>
      <c r="L219" s="69"/>
      <c r="M219" s="69"/>
      <c r="N219" s="69"/>
      <c r="O219" s="69"/>
      <c r="P219" s="69"/>
      <c r="Q219" s="69"/>
      <c r="R219" s="69"/>
      <c r="S219" s="69"/>
      <c r="T219" s="69"/>
      <c r="U219" s="117"/>
      <c r="V219" s="47"/>
      <c r="W219" s="12"/>
    </row>
    <row r="220" ht="24.95" customHeight="1">
      <c r="A220" s="13"/>
      <c r="B220" s="50"/>
      <c r="C220" s="75"/>
      <c r="D220" t="s" s="241">
        <v>527</v>
      </c>
      <c r="E220" s="242"/>
      <c r="F220" s="242"/>
      <c r="G220" s="401"/>
      <c r="H220" s="113"/>
      <c r="I220" s="114"/>
      <c r="J220" s="114"/>
      <c r="K220" s="114"/>
      <c r="L220" s="114"/>
      <c r="M220" s="114"/>
      <c r="N220" s="114"/>
      <c r="O220" s="114"/>
      <c r="P220" s="114"/>
      <c r="Q220" s="114"/>
      <c r="R220" s="114"/>
      <c r="S220" s="114"/>
      <c r="T220" s="115"/>
      <c r="U220" s="104"/>
      <c r="V220" s="47"/>
      <c r="W220" s="12"/>
    </row>
    <row r="221" ht="9.95" customHeight="1">
      <c r="A221" s="13"/>
      <c r="B221" s="50"/>
      <c r="C221" s="75"/>
      <c r="D221" s="112"/>
      <c r="E221" s="112"/>
      <c r="F221" s="112"/>
      <c r="G221" s="112"/>
      <c r="H221" s="69"/>
      <c r="I221" s="69"/>
      <c r="J221" s="69"/>
      <c r="K221" s="69"/>
      <c r="L221" s="69"/>
      <c r="M221" s="69"/>
      <c r="N221" s="69"/>
      <c r="O221" s="69"/>
      <c r="P221" s="69"/>
      <c r="Q221" s="69"/>
      <c r="R221" s="69"/>
      <c r="S221" s="69"/>
      <c r="T221" s="69"/>
      <c r="U221" s="117"/>
      <c r="V221" s="47"/>
      <c r="W221" s="12"/>
    </row>
    <row r="222" ht="25.5" customHeight="1">
      <c r="A222" s="13"/>
      <c r="B222" s="50"/>
      <c r="C222" s="75"/>
      <c r="D222" t="s" s="76">
        <v>528</v>
      </c>
      <c r="E222" s="77"/>
      <c r="F222" s="77"/>
      <c r="G222" s="78"/>
      <c r="H222" s="113"/>
      <c r="I222" s="114"/>
      <c r="J222" s="114"/>
      <c r="K222" s="114"/>
      <c r="L222" s="114"/>
      <c r="M222" s="114"/>
      <c r="N222" s="114"/>
      <c r="O222" s="114"/>
      <c r="P222" s="114"/>
      <c r="Q222" s="114"/>
      <c r="R222" s="114"/>
      <c r="S222" s="114"/>
      <c r="T222" s="115"/>
      <c r="U222" s="104"/>
      <c r="V222" s="47"/>
      <c r="W222" s="12"/>
    </row>
    <row r="223" ht="33.95" customHeight="1">
      <c r="A223" s="13"/>
      <c r="B223" s="50"/>
      <c r="C223" t="s" s="425">
        <v>529</v>
      </c>
      <c r="D223" s="426"/>
      <c r="E223" s="426"/>
      <c r="F223" s="426"/>
      <c r="G223" s="426"/>
      <c r="H223" s="427"/>
      <c r="I223" s="427"/>
      <c r="J223" s="427"/>
      <c r="K223" s="427"/>
      <c r="L223" s="427"/>
      <c r="M223" s="427"/>
      <c r="N223" s="427"/>
      <c r="O223" s="427"/>
      <c r="P223" s="427"/>
      <c r="Q223" s="427"/>
      <c r="R223" s="427"/>
      <c r="S223" s="427"/>
      <c r="T223" s="427"/>
      <c r="U223" s="428"/>
      <c r="V223" s="47"/>
      <c r="W223" s="12"/>
    </row>
    <row r="224" ht="25.5" customHeight="1">
      <c r="A224" s="13"/>
      <c r="B224" s="50"/>
      <c r="C224" s="75"/>
      <c r="D224" s="112"/>
      <c r="E224" t="s" s="411">
        <v>530</v>
      </c>
      <c r="F224" s="112"/>
      <c r="G224" s="112"/>
      <c r="H224" s="112"/>
      <c r="I224" t="s" s="411">
        <v>350</v>
      </c>
      <c r="J224" s="112"/>
      <c r="K224" s="112"/>
      <c r="L224" s="112"/>
      <c r="M224" s="112"/>
      <c r="N224" t="s" s="411">
        <v>531</v>
      </c>
      <c r="O224" s="112"/>
      <c r="P224" s="112"/>
      <c r="Q224" s="112"/>
      <c r="R224" s="112"/>
      <c r="S224" s="112"/>
      <c r="T224" s="112"/>
      <c r="U224" s="117"/>
      <c r="V224" s="47"/>
      <c r="W224" s="12"/>
    </row>
    <row r="225" ht="8" customHeight="1">
      <c r="A225" s="13"/>
      <c r="B225" s="50"/>
      <c r="C225" s="79"/>
      <c r="D225" s="81"/>
      <c r="E225" s="81"/>
      <c r="F225" s="81"/>
      <c r="G225" s="81"/>
      <c r="H225" s="81"/>
      <c r="I225" s="81"/>
      <c r="J225" s="81"/>
      <c r="K225" s="116"/>
      <c r="L225" s="116"/>
      <c r="M225" s="116"/>
      <c r="N225" s="116"/>
      <c r="O225" s="116"/>
      <c r="P225" s="116"/>
      <c r="Q225" s="116"/>
      <c r="R225" s="116"/>
      <c r="S225" s="116"/>
      <c r="T225" s="116"/>
      <c r="U225" s="381"/>
      <c r="V225" s="47"/>
      <c r="W225" s="12"/>
    </row>
    <row r="226" ht="15.75" customHeight="1">
      <c r="A226" s="13"/>
      <c r="B226" s="11"/>
      <c r="C226" s="59"/>
      <c r="D226" s="59"/>
      <c r="E226" s="59"/>
      <c r="F226" s="59"/>
      <c r="G226" s="59"/>
      <c r="H226" s="59"/>
      <c r="I226" s="59"/>
      <c r="J226" s="59"/>
      <c r="K226" s="59"/>
      <c r="L226" s="59"/>
      <c r="M226" s="59"/>
      <c r="N226" s="59"/>
      <c r="O226" s="59"/>
      <c r="P226" s="59"/>
      <c r="Q226" s="59"/>
      <c r="R226" s="59"/>
      <c r="S226" s="59"/>
      <c r="T226" s="59"/>
      <c r="U226" s="59"/>
      <c r="V226" s="11"/>
      <c r="W226" s="12"/>
    </row>
    <row r="227" ht="24.95" customHeight="1">
      <c r="A227" s="13"/>
      <c r="B227" s="50"/>
      <c r="C227" s="71"/>
      <c r="D227" t="s" s="424">
        <v>59</v>
      </c>
      <c r="E227" s="410"/>
      <c r="F227" s="410"/>
      <c r="G227" s="410"/>
      <c r="H227" s="57"/>
      <c r="I227" s="57"/>
      <c r="J227" s="57"/>
      <c r="K227" s="57"/>
      <c r="L227" s="57"/>
      <c r="M227" s="57"/>
      <c r="N227" s="57"/>
      <c r="O227" s="57"/>
      <c r="P227" s="57"/>
      <c r="Q227" s="57"/>
      <c r="R227" s="57"/>
      <c r="S227" s="57"/>
      <c r="T227" s="57"/>
      <c r="U227" s="418"/>
      <c r="V227" s="47"/>
      <c r="W227" s="12"/>
    </row>
    <row r="228" ht="24.95" customHeight="1">
      <c r="A228" s="13"/>
      <c r="B228" s="50"/>
      <c r="C228" s="75"/>
      <c r="D228" t="s" s="76">
        <v>526</v>
      </c>
      <c r="E228" s="77"/>
      <c r="F228" s="77"/>
      <c r="G228" s="78"/>
      <c r="H228" s="113"/>
      <c r="I228" s="114"/>
      <c r="J228" s="114"/>
      <c r="K228" s="114"/>
      <c r="L228" s="114"/>
      <c r="M228" s="114"/>
      <c r="N228" s="114"/>
      <c r="O228" s="114"/>
      <c r="P228" s="114"/>
      <c r="Q228" s="114"/>
      <c r="R228" s="114"/>
      <c r="S228" s="114"/>
      <c r="T228" s="115"/>
      <c r="U228" s="104"/>
      <c r="V228" s="47"/>
      <c r="W228" s="12"/>
    </row>
    <row r="229" ht="9.95" customHeight="1">
      <c r="A229" s="13"/>
      <c r="B229" s="50"/>
      <c r="C229" s="75"/>
      <c r="D229" s="112"/>
      <c r="E229" s="112"/>
      <c r="F229" s="112"/>
      <c r="G229" s="112"/>
      <c r="H229" s="69"/>
      <c r="I229" s="69"/>
      <c r="J229" s="69"/>
      <c r="K229" s="69"/>
      <c r="L229" s="69"/>
      <c r="M229" s="69"/>
      <c r="N229" s="69"/>
      <c r="O229" s="69"/>
      <c r="P229" s="69"/>
      <c r="Q229" s="69"/>
      <c r="R229" s="69"/>
      <c r="S229" s="69"/>
      <c r="T229" s="69"/>
      <c r="U229" s="117"/>
      <c r="V229" s="47"/>
      <c r="W229" s="12"/>
    </row>
    <row r="230" ht="24.95" customHeight="1">
      <c r="A230" s="13"/>
      <c r="B230" s="50"/>
      <c r="C230" s="75"/>
      <c r="D230" t="s" s="241">
        <v>527</v>
      </c>
      <c r="E230" s="242"/>
      <c r="F230" s="242"/>
      <c r="G230" s="401"/>
      <c r="H230" s="113"/>
      <c r="I230" s="114"/>
      <c r="J230" s="114"/>
      <c r="K230" s="114"/>
      <c r="L230" s="114"/>
      <c r="M230" s="114"/>
      <c r="N230" s="114"/>
      <c r="O230" s="114"/>
      <c r="P230" s="114"/>
      <c r="Q230" s="114"/>
      <c r="R230" s="114"/>
      <c r="S230" s="114"/>
      <c r="T230" s="115"/>
      <c r="U230" s="104"/>
      <c r="V230" s="47"/>
      <c r="W230" s="12"/>
    </row>
    <row r="231" ht="9.95" customHeight="1">
      <c r="A231" s="13"/>
      <c r="B231" s="50"/>
      <c r="C231" s="75"/>
      <c r="D231" s="112"/>
      <c r="E231" s="112"/>
      <c r="F231" s="112"/>
      <c r="G231" s="112"/>
      <c r="H231" s="69"/>
      <c r="I231" s="69"/>
      <c r="J231" s="69"/>
      <c r="K231" s="69"/>
      <c r="L231" s="69"/>
      <c r="M231" s="69"/>
      <c r="N231" s="69"/>
      <c r="O231" s="69"/>
      <c r="P231" s="69"/>
      <c r="Q231" s="69"/>
      <c r="R231" s="69"/>
      <c r="S231" s="69"/>
      <c r="T231" s="69"/>
      <c r="U231" s="117"/>
      <c r="V231" s="47"/>
      <c r="W231" s="12"/>
    </row>
    <row r="232" ht="25.5" customHeight="1">
      <c r="A232" s="13"/>
      <c r="B232" s="50"/>
      <c r="C232" s="75"/>
      <c r="D232" t="s" s="76">
        <v>528</v>
      </c>
      <c r="E232" s="77"/>
      <c r="F232" s="77"/>
      <c r="G232" s="78"/>
      <c r="H232" s="113"/>
      <c r="I232" s="114"/>
      <c r="J232" s="114"/>
      <c r="K232" s="114"/>
      <c r="L232" s="114"/>
      <c r="M232" s="114"/>
      <c r="N232" s="114"/>
      <c r="O232" s="114"/>
      <c r="P232" s="114"/>
      <c r="Q232" s="114"/>
      <c r="R232" s="114"/>
      <c r="S232" s="114"/>
      <c r="T232" s="115"/>
      <c r="U232" s="104"/>
      <c r="V232" s="47"/>
      <c r="W232" s="12"/>
    </row>
    <row r="233" ht="33.95" customHeight="1">
      <c r="A233" s="13"/>
      <c r="B233" s="50"/>
      <c r="C233" t="s" s="425">
        <v>529</v>
      </c>
      <c r="D233" s="426"/>
      <c r="E233" s="426"/>
      <c r="F233" s="426"/>
      <c r="G233" s="426"/>
      <c r="H233" s="427"/>
      <c r="I233" s="427"/>
      <c r="J233" s="427"/>
      <c r="K233" s="427"/>
      <c r="L233" s="427"/>
      <c r="M233" s="427"/>
      <c r="N233" s="427"/>
      <c r="O233" s="427"/>
      <c r="P233" s="427"/>
      <c r="Q233" s="427"/>
      <c r="R233" s="427"/>
      <c r="S233" s="427"/>
      <c r="T233" s="427"/>
      <c r="U233" s="428"/>
      <c r="V233" s="47"/>
      <c r="W233" s="12"/>
    </row>
    <row r="234" ht="25.5" customHeight="1">
      <c r="A234" s="13"/>
      <c r="B234" s="50"/>
      <c r="C234" s="75"/>
      <c r="D234" s="112"/>
      <c r="E234" t="s" s="411">
        <v>530</v>
      </c>
      <c r="F234" s="112"/>
      <c r="G234" s="112"/>
      <c r="H234" s="112"/>
      <c r="I234" t="s" s="411">
        <v>350</v>
      </c>
      <c r="J234" s="112"/>
      <c r="K234" s="112"/>
      <c r="L234" s="112"/>
      <c r="M234" s="112"/>
      <c r="N234" t="s" s="411">
        <v>531</v>
      </c>
      <c r="O234" s="112"/>
      <c r="P234" s="112"/>
      <c r="Q234" s="112"/>
      <c r="R234" s="112"/>
      <c r="S234" s="112"/>
      <c r="T234" s="112"/>
      <c r="U234" s="117"/>
      <c r="V234" s="47"/>
      <c r="W234" s="12"/>
    </row>
    <row r="235" ht="8" customHeight="1">
      <c r="A235" s="13"/>
      <c r="B235" s="50"/>
      <c r="C235" s="79"/>
      <c r="D235" s="81"/>
      <c r="E235" s="81"/>
      <c r="F235" s="81"/>
      <c r="G235" s="81"/>
      <c r="H235" s="81"/>
      <c r="I235" s="81"/>
      <c r="J235" s="81"/>
      <c r="K235" s="116"/>
      <c r="L235" s="116"/>
      <c r="M235" s="116"/>
      <c r="N235" s="116"/>
      <c r="O235" s="116"/>
      <c r="P235" s="116"/>
      <c r="Q235" s="116"/>
      <c r="R235" s="116"/>
      <c r="S235" s="116"/>
      <c r="T235" s="116"/>
      <c r="U235" s="381"/>
      <c r="V235" s="47"/>
      <c r="W235" s="12"/>
    </row>
    <row r="236" ht="15.75" customHeight="1">
      <c r="A236" s="13"/>
      <c r="B236" s="11"/>
      <c r="C236" s="59"/>
      <c r="D236" s="59"/>
      <c r="E236" s="59"/>
      <c r="F236" s="59"/>
      <c r="G236" s="59"/>
      <c r="H236" s="59"/>
      <c r="I236" s="59"/>
      <c r="J236" s="59"/>
      <c r="K236" s="59"/>
      <c r="L236" s="59"/>
      <c r="M236" s="59"/>
      <c r="N236" s="59"/>
      <c r="O236" s="59"/>
      <c r="P236" s="59"/>
      <c r="Q236" s="59"/>
      <c r="R236" s="59"/>
      <c r="S236" s="59"/>
      <c r="T236" s="59"/>
      <c r="U236" s="59"/>
      <c r="V236" s="11"/>
      <c r="W236" s="12"/>
    </row>
    <row r="237" ht="24.95" customHeight="1">
      <c r="A237" s="13"/>
      <c r="B237" s="50"/>
      <c r="C237" s="71"/>
      <c r="D237" t="s" s="424">
        <v>59</v>
      </c>
      <c r="E237" s="410"/>
      <c r="F237" s="410"/>
      <c r="G237" s="410"/>
      <c r="H237" s="57"/>
      <c r="I237" s="57"/>
      <c r="J237" s="57"/>
      <c r="K237" s="57"/>
      <c r="L237" s="57"/>
      <c r="M237" s="57"/>
      <c r="N237" s="57"/>
      <c r="O237" s="57"/>
      <c r="P237" s="57"/>
      <c r="Q237" s="57"/>
      <c r="R237" s="57"/>
      <c r="S237" s="57"/>
      <c r="T237" s="57"/>
      <c r="U237" s="418"/>
      <c r="V237" s="47"/>
      <c r="W237" s="12"/>
    </row>
    <row r="238" ht="24.95" customHeight="1">
      <c r="A238" s="13"/>
      <c r="B238" s="50"/>
      <c r="C238" s="75"/>
      <c r="D238" t="s" s="76">
        <v>526</v>
      </c>
      <c r="E238" s="77"/>
      <c r="F238" s="77"/>
      <c r="G238" s="78"/>
      <c r="H238" s="113"/>
      <c r="I238" s="114"/>
      <c r="J238" s="114"/>
      <c r="K238" s="114"/>
      <c r="L238" s="114"/>
      <c r="M238" s="114"/>
      <c r="N238" s="114"/>
      <c r="O238" s="114"/>
      <c r="P238" s="114"/>
      <c r="Q238" s="114"/>
      <c r="R238" s="114"/>
      <c r="S238" s="114"/>
      <c r="T238" s="115"/>
      <c r="U238" s="104"/>
      <c r="V238" s="47"/>
      <c r="W238" s="12"/>
    </row>
    <row r="239" ht="9.95" customHeight="1">
      <c r="A239" s="13"/>
      <c r="B239" s="50"/>
      <c r="C239" s="75"/>
      <c r="D239" s="112"/>
      <c r="E239" s="112"/>
      <c r="F239" s="112"/>
      <c r="G239" s="112"/>
      <c r="H239" s="69"/>
      <c r="I239" s="69"/>
      <c r="J239" s="69"/>
      <c r="K239" s="69"/>
      <c r="L239" s="69"/>
      <c r="M239" s="69"/>
      <c r="N239" s="69"/>
      <c r="O239" s="69"/>
      <c r="P239" s="69"/>
      <c r="Q239" s="69"/>
      <c r="R239" s="69"/>
      <c r="S239" s="69"/>
      <c r="T239" s="69"/>
      <c r="U239" s="117"/>
      <c r="V239" s="47"/>
      <c r="W239" s="12"/>
    </row>
    <row r="240" ht="24.95" customHeight="1">
      <c r="A240" s="13"/>
      <c r="B240" s="50"/>
      <c r="C240" s="75"/>
      <c r="D240" t="s" s="241">
        <v>527</v>
      </c>
      <c r="E240" s="242"/>
      <c r="F240" s="242"/>
      <c r="G240" s="401"/>
      <c r="H240" s="113"/>
      <c r="I240" s="114"/>
      <c r="J240" s="114"/>
      <c r="K240" s="114"/>
      <c r="L240" s="114"/>
      <c r="M240" s="114"/>
      <c r="N240" s="114"/>
      <c r="O240" s="114"/>
      <c r="P240" s="114"/>
      <c r="Q240" s="114"/>
      <c r="R240" s="114"/>
      <c r="S240" s="114"/>
      <c r="T240" s="115"/>
      <c r="U240" s="104"/>
      <c r="V240" s="47"/>
      <c r="W240" s="12"/>
    </row>
    <row r="241" ht="9.95" customHeight="1">
      <c r="A241" s="13"/>
      <c r="B241" s="50"/>
      <c r="C241" s="75"/>
      <c r="D241" s="112"/>
      <c r="E241" s="112"/>
      <c r="F241" s="112"/>
      <c r="G241" s="112"/>
      <c r="H241" s="69"/>
      <c r="I241" s="69"/>
      <c r="J241" s="69"/>
      <c r="K241" s="69"/>
      <c r="L241" s="69"/>
      <c r="M241" s="69"/>
      <c r="N241" s="69"/>
      <c r="O241" s="69"/>
      <c r="P241" s="69"/>
      <c r="Q241" s="69"/>
      <c r="R241" s="69"/>
      <c r="S241" s="69"/>
      <c r="T241" s="69"/>
      <c r="U241" s="117"/>
      <c r="V241" s="47"/>
      <c r="W241" s="12"/>
    </row>
    <row r="242" ht="25.5" customHeight="1">
      <c r="A242" s="13"/>
      <c r="B242" s="50"/>
      <c r="C242" s="75"/>
      <c r="D242" t="s" s="76">
        <v>528</v>
      </c>
      <c r="E242" s="77"/>
      <c r="F242" s="77"/>
      <c r="G242" s="78"/>
      <c r="H242" s="113"/>
      <c r="I242" s="114"/>
      <c r="J242" s="114"/>
      <c r="K242" s="114"/>
      <c r="L242" s="114"/>
      <c r="M242" s="114"/>
      <c r="N242" s="114"/>
      <c r="O242" s="114"/>
      <c r="P242" s="114"/>
      <c r="Q242" s="114"/>
      <c r="R242" s="114"/>
      <c r="S242" s="114"/>
      <c r="T242" s="115"/>
      <c r="U242" s="104"/>
      <c r="V242" s="47"/>
      <c r="W242" s="12"/>
    </row>
    <row r="243" ht="33.95" customHeight="1">
      <c r="A243" s="13"/>
      <c r="B243" s="50"/>
      <c r="C243" t="s" s="425">
        <v>529</v>
      </c>
      <c r="D243" s="426"/>
      <c r="E243" s="426"/>
      <c r="F243" s="426"/>
      <c r="G243" s="426"/>
      <c r="H243" s="427"/>
      <c r="I243" s="427"/>
      <c r="J243" s="427"/>
      <c r="K243" s="427"/>
      <c r="L243" s="427"/>
      <c r="M243" s="427"/>
      <c r="N243" s="427"/>
      <c r="O243" s="427"/>
      <c r="P243" s="427"/>
      <c r="Q243" s="427"/>
      <c r="R243" s="427"/>
      <c r="S243" s="427"/>
      <c r="T243" s="427"/>
      <c r="U243" s="428"/>
      <c r="V243" s="47"/>
      <c r="W243" s="12"/>
    </row>
    <row r="244" ht="25.5" customHeight="1">
      <c r="A244" s="13"/>
      <c r="B244" s="50"/>
      <c r="C244" s="75"/>
      <c r="D244" s="112"/>
      <c r="E244" t="s" s="411">
        <v>530</v>
      </c>
      <c r="F244" s="112"/>
      <c r="G244" s="112"/>
      <c r="H244" s="112"/>
      <c r="I244" t="s" s="411">
        <v>350</v>
      </c>
      <c r="J244" s="112"/>
      <c r="K244" s="112"/>
      <c r="L244" s="112"/>
      <c r="M244" s="112"/>
      <c r="N244" t="s" s="411">
        <v>531</v>
      </c>
      <c r="O244" s="112"/>
      <c r="P244" s="112"/>
      <c r="Q244" s="112"/>
      <c r="R244" s="112"/>
      <c r="S244" s="112"/>
      <c r="T244" s="112"/>
      <c r="U244" s="117"/>
      <c r="V244" s="47"/>
      <c r="W244" s="12"/>
    </row>
    <row r="245" ht="8" customHeight="1">
      <c r="A245" s="13"/>
      <c r="B245" s="50"/>
      <c r="C245" s="79"/>
      <c r="D245" s="81"/>
      <c r="E245" s="81"/>
      <c r="F245" s="81"/>
      <c r="G245" s="81"/>
      <c r="H245" s="81"/>
      <c r="I245" s="81"/>
      <c r="J245" s="81"/>
      <c r="K245" s="116"/>
      <c r="L245" s="116"/>
      <c r="M245" s="116"/>
      <c r="N245" s="116"/>
      <c r="O245" s="116"/>
      <c r="P245" s="116"/>
      <c r="Q245" s="116"/>
      <c r="R245" s="116"/>
      <c r="S245" s="116"/>
      <c r="T245" s="116"/>
      <c r="U245" s="381"/>
      <c r="V245" s="47"/>
      <c r="W245" s="12"/>
    </row>
    <row r="246" ht="15.75" customHeight="1">
      <c r="A246" s="13"/>
      <c r="B246" s="11"/>
      <c r="C246" s="59"/>
      <c r="D246" s="59"/>
      <c r="E246" s="59"/>
      <c r="F246" s="59"/>
      <c r="G246" s="59"/>
      <c r="H246" s="59"/>
      <c r="I246" s="59"/>
      <c r="J246" s="59"/>
      <c r="K246" s="59"/>
      <c r="L246" s="59"/>
      <c r="M246" s="59"/>
      <c r="N246" s="59"/>
      <c r="O246" s="59"/>
      <c r="P246" s="59"/>
      <c r="Q246" s="59"/>
      <c r="R246" s="59"/>
      <c r="S246" s="59"/>
      <c r="T246" s="59"/>
      <c r="U246" s="59"/>
      <c r="V246" s="11"/>
      <c r="W246" s="12"/>
    </row>
    <row r="247" ht="24.95" customHeight="1">
      <c r="A247" s="13"/>
      <c r="B247" s="50"/>
      <c r="C247" s="71"/>
      <c r="D247" t="s" s="424">
        <v>59</v>
      </c>
      <c r="E247" s="410"/>
      <c r="F247" s="410"/>
      <c r="G247" s="410"/>
      <c r="H247" s="57"/>
      <c r="I247" s="57"/>
      <c r="J247" s="57"/>
      <c r="K247" s="57"/>
      <c r="L247" s="57"/>
      <c r="M247" s="57"/>
      <c r="N247" s="57"/>
      <c r="O247" s="57"/>
      <c r="P247" s="57"/>
      <c r="Q247" s="57"/>
      <c r="R247" s="57"/>
      <c r="S247" s="57"/>
      <c r="T247" s="57"/>
      <c r="U247" s="418"/>
      <c r="V247" s="47"/>
      <c r="W247" s="12"/>
    </row>
    <row r="248" ht="24.95" customHeight="1">
      <c r="A248" s="13"/>
      <c r="B248" s="50"/>
      <c r="C248" s="75"/>
      <c r="D248" t="s" s="76">
        <v>526</v>
      </c>
      <c r="E248" s="77"/>
      <c r="F248" s="77"/>
      <c r="G248" s="78"/>
      <c r="H248" s="113"/>
      <c r="I248" s="114"/>
      <c r="J248" s="114"/>
      <c r="K248" s="114"/>
      <c r="L248" s="114"/>
      <c r="M248" s="114"/>
      <c r="N248" s="114"/>
      <c r="O248" s="114"/>
      <c r="P248" s="114"/>
      <c r="Q248" s="114"/>
      <c r="R248" s="114"/>
      <c r="S248" s="114"/>
      <c r="T248" s="115"/>
      <c r="U248" s="104"/>
      <c r="V248" s="47"/>
      <c r="W248" s="12"/>
    </row>
    <row r="249" ht="9.95" customHeight="1">
      <c r="A249" s="13"/>
      <c r="B249" s="50"/>
      <c r="C249" s="75"/>
      <c r="D249" s="112"/>
      <c r="E249" s="112"/>
      <c r="F249" s="112"/>
      <c r="G249" s="112"/>
      <c r="H249" s="69"/>
      <c r="I249" s="69"/>
      <c r="J249" s="69"/>
      <c r="K249" s="69"/>
      <c r="L249" s="69"/>
      <c r="M249" s="69"/>
      <c r="N249" s="69"/>
      <c r="O249" s="69"/>
      <c r="P249" s="69"/>
      <c r="Q249" s="69"/>
      <c r="R249" s="69"/>
      <c r="S249" s="69"/>
      <c r="T249" s="69"/>
      <c r="U249" s="117"/>
      <c r="V249" s="47"/>
      <c r="W249" s="12"/>
    </row>
    <row r="250" ht="24.95" customHeight="1">
      <c r="A250" s="13"/>
      <c r="B250" s="50"/>
      <c r="C250" s="75"/>
      <c r="D250" t="s" s="241">
        <v>527</v>
      </c>
      <c r="E250" s="242"/>
      <c r="F250" s="242"/>
      <c r="G250" s="401"/>
      <c r="H250" s="113"/>
      <c r="I250" s="114"/>
      <c r="J250" s="114"/>
      <c r="K250" s="114"/>
      <c r="L250" s="114"/>
      <c r="M250" s="114"/>
      <c r="N250" s="114"/>
      <c r="O250" s="114"/>
      <c r="P250" s="114"/>
      <c r="Q250" s="114"/>
      <c r="R250" s="114"/>
      <c r="S250" s="114"/>
      <c r="T250" s="115"/>
      <c r="U250" s="104"/>
      <c r="V250" s="47"/>
      <c r="W250" s="12"/>
    </row>
    <row r="251" ht="9.95" customHeight="1">
      <c r="A251" s="13"/>
      <c r="B251" s="50"/>
      <c r="C251" s="75"/>
      <c r="D251" s="112"/>
      <c r="E251" s="112"/>
      <c r="F251" s="112"/>
      <c r="G251" s="112"/>
      <c r="H251" s="69"/>
      <c r="I251" s="69"/>
      <c r="J251" s="69"/>
      <c r="K251" s="69"/>
      <c r="L251" s="69"/>
      <c r="M251" s="69"/>
      <c r="N251" s="69"/>
      <c r="O251" s="69"/>
      <c r="P251" s="69"/>
      <c r="Q251" s="69"/>
      <c r="R251" s="69"/>
      <c r="S251" s="69"/>
      <c r="T251" s="69"/>
      <c r="U251" s="117"/>
      <c r="V251" s="47"/>
      <c r="W251" s="12"/>
    </row>
    <row r="252" ht="25.5" customHeight="1">
      <c r="A252" s="13"/>
      <c r="B252" s="50"/>
      <c r="C252" s="75"/>
      <c r="D252" t="s" s="76">
        <v>528</v>
      </c>
      <c r="E252" s="77"/>
      <c r="F252" s="77"/>
      <c r="G252" s="78"/>
      <c r="H252" s="113"/>
      <c r="I252" s="114"/>
      <c r="J252" s="114"/>
      <c r="K252" s="114"/>
      <c r="L252" s="114"/>
      <c r="M252" s="114"/>
      <c r="N252" s="114"/>
      <c r="O252" s="114"/>
      <c r="P252" s="114"/>
      <c r="Q252" s="114"/>
      <c r="R252" s="114"/>
      <c r="S252" s="114"/>
      <c r="T252" s="115"/>
      <c r="U252" s="104"/>
      <c r="V252" s="47"/>
      <c r="W252" s="12"/>
    </row>
    <row r="253" ht="33.95" customHeight="1">
      <c r="A253" s="13"/>
      <c r="B253" s="50"/>
      <c r="C253" t="s" s="425">
        <v>529</v>
      </c>
      <c r="D253" s="426"/>
      <c r="E253" s="426"/>
      <c r="F253" s="426"/>
      <c r="G253" s="426"/>
      <c r="H253" s="427"/>
      <c r="I253" s="427"/>
      <c r="J253" s="427"/>
      <c r="K253" s="427"/>
      <c r="L253" s="427"/>
      <c r="M253" s="427"/>
      <c r="N253" s="427"/>
      <c r="O253" s="427"/>
      <c r="P253" s="427"/>
      <c r="Q253" s="427"/>
      <c r="R253" s="427"/>
      <c r="S253" s="427"/>
      <c r="T253" s="427"/>
      <c r="U253" s="428"/>
      <c r="V253" s="47"/>
      <c r="W253" s="12"/>
    </row>
    <row r="254" ht="25.5" customHeight="1">
      <c r="A254" s="13"/>
      <c r="B254" s="50"/>
      <c r="C254" s="75"/>
      <c r="D254" s="112"/>
      <c r="E254" t="s" s="411">
        <v>530</v>
      </c>
      <c r="F254" s="112"/>
      <c r="G254" s="112"/>
      <c r="H254" s="112"/>
      <c r="I254" t="s" s="411">
        <v>350</v>
      </c>
      <c r="J254" s="112"/>
      <c r="K254" s="112"/>
      <c r="L254" s="112"/>
      <c r="M254" s="112"/>
      <c r="N254" t="s" s="411">
        <v>531</v>
      </c>
      <c r="O254" s="112"/>
      <c r="P254" s="112"/>
      <c r="Q254" s="112"/>
      <c r="R254" s="112"/>
      <c r="S254" s="112"/>
      <c r="T254" s="112"/>
      <c r="U254" s="117"/>
      <c r="V254" s="47"/>
      <c r="W254" s="12"/>
    </row>
    <row r="255" ht="8" customHeight="1">
      <c r="A255" s="13"/>
      <c r="B255" s="50"/>
      <c r="C255" s="79"/>
      <c r="D255" s="81"/>
      <c r="E255" s="81"/>
      <c r="F255" s="81"/>
      <c r="G255" s="81"/>
      <c r="H255" s="81"/>
      <c r="I255" s="81"/>
      <c r="J255" s="81"/>
      <c r="K255" s="116"/>
      <c r="L255" s="116"/>
      <c r="M255" s="116"/>
      <c r="N255" s="116"/>
      <c r="O255" s="116"/>
      <c r="P255" s="116"/>
      <c r="Q255" s="116"/>
      <c r="R255" s="116"/>
      <c r="S255" s="116"/>
      <c r="T255" s="116"/>
      <c r="U255" s="381"/>
      <c r="V255" s="47"/>
      <c r="W255" s="12"/>
    </row>
    <row r="256" ht="15.75" customHeight="1">
      <c r="A256" s="13"/>
      <c r="B256" s="11"/>
      <c r="C256" s="59"/>
      <c r="D256" s="59"/>
      <c r="E256" s="59"/>
      <c r="F256" s="59"/>
      <c r="G256" s="59"/>
      <c r="H256" s="59"/>
      <c r="I256" s="59"/>
      <c r="J256" s="59"/>
      <c r="K256" s="59"/>
      <c r="L256" s="59"/>
      <c r="M256" s="59"/>
      <c r="N256" s="59"/>
      <c r="O256" s="59"/>
      <c r="P256" s="59"/>
      <c r="Q256" s="59"/>
      <c r="R256" s="59"/>
      <c r="S256" s="59"/>
      <c r="T256" s="59"/>
      <c r="U256" s="59"/>
      <c r="V256" s="11"/>
      <c r="W256" s="12"/>
    </row>
    <row r="257" ht="24.95" customHeight="1">
      <c r="A257" s="13"/>
      <c r="B257" s="50"/>
      <c r="C257" s="71"/>
      <c r="D257" t="s" s="424">
        <v>59</v>
      </c>
      <c r="E257" s="410"/>
      <c r="F257" s="410"/>
      <c r="G257" s="410"/>
      <c r="H257" s="57"/>
      <c r="I257" s="57"/>
      <c r="J257" s="57"/>
      <c r="K257" s="57"/>
      <c r="L257" s="57"/>
      <c r="M257" s="57"/>
      <c r="N257" s="57"/>
      <c r="O257" s="57"/>
      <c r="P257" s="57"/>
      <c r="Q257" s="57"/>
      <c r="R257" s="57"/>
      <c r="S257" s="57"/>
      <c r="T257" s="57"/>
      <c r="U257" s="418"/>
      <c r="V257" s="47"/>
      <c r="W257" s="12"/>
    </row>
    <row r="258" ht="24.95" customHeight="1">
      <c r="A258" s="13"/>
      <c r="B258" s="50"/>
      <c r="C258" s="75"/>
      <c r="D258" t="s" s="76">
        <v>526</v>
      </c>
      <c r="E258" s="77"/>
      <c r="F258" s="77"/>
      <c r="G258" s="78"/>
      <c r="H258" s="113"/>
      <c r="I258" s="114"/>
      <c r="J258" s="114"/>
      <c r="K258" s="114"/>
      <c r="L258" s="114"/>
      <c r="M258" s="114"/>
      <c r="N258" s="114"/>
      <c r="O258" s="114"/>
      <c r="P258" s="114"/>
      <c r="Q258" s="114"/>
      <c r="R258" s="114"/>
      <c r="S258" s="114"/>
      <c r="T258" s="115"/>
      <c r="U258" s="104"/>
      <c r="V258" s="47"/>
      <c r="W258" s="12"/>
    </row>
    <row r="259" ht="9.95" customHeight="1">
      <c r="A259" s="13"/>
      <c r="B259" s="50"/>
      <c r="C259" s="75"/>
      <c r="D259" s="112"/>
      <c r="E259" s="112"/>
      <c r="F259" s="112"/>
      <c r="G259" s="112"/>
      <c r="H259" s="69"/>
      <c r="I259" s="69"/>
      <c r="J259" s="69"/>
      <c r="K259" s="69"/>
      <c r="L259" s="69"/>
      <c r="M259" s="69"/>
      <c r="N259" s="69"/>
      <c r="O259" s="69"/>
      <c r="P259" s="69"/>
      <c r="Q259" s="69"/>
      <c r="R259" s="69"/>
      <c r="S259" s="69"/>
      <c r="T259" s="69"/>
      <c r="U259" s="117"/>
      <c r="V259" s="47"/>
      <c r="W259" s="12"/>
    </row>
    <row r="260" ht="24.95" customHeight="1">
      <c r="A260" s="13"/>
      <c r="B260" s="50"/>
      <c r="C260" s="75"/>
      <c r="D260" t="s" s="241">
        <v>527</v>
      </c>
      <c r="E260" s="242"/>
      <c r="F260" s="242"/>
      <c r="G260" s="401"/>
      <c r="H260" s="113"/>
      <c r="I260" s="114"/>
      <c r="J260" s="114"/>
      <c r="K260" s="114"/>
      <c r="L260" s="114"/>
      <c r="M260" s="114"/>
      <c r="N260" s="114"/>
      <c r="O260" s="114"/>
      <c r="P260" s="114"/>
      <c r="Q260" s="114"/>
      <c r="R260" s="114"/>
      <c r="S260" s="114"/>
      <c r="T260" s="115"/>
      <c r="U260" s="104"/>
      <c r="V260" s="47"/>
      <c r="W260" s="12"/>
    </row>
    <row r="261" ht="9.95" customHeight="1">
      <c r="A261" s="13"/>
      <c r="B261" s="50"/>
      <c r="C261" s="75"/>
      <c r="D261" s="112"/>
      <c r="E261" s="112"/>
      <c r="F261" s="112"/>
      <c r="G261" s="112"/>
      <c r="H261" s="69"/>
      <c r="I261" s="69"/>
      <c r="J261" s="69"/>
      <c r="K261" s="69"/>
      <c r="L261" s="69"/>
      <c r="M261" s="69"/>
      <c r="N261" s="69"/>
      <c r="O261" s="69"/>
      <c r="P261" s="69"/>
      <c r="Q261" s="69"/>
      <c r="R261" s="69"/>
      <c r="S261" s="69"/>
      <c r="T261" s="69"/>
      <c r="U261" s="117"/>
      <c r="V261" s="47"/>
      <c r="W261" s="12"/>
    </row>
    <row r="262" ht="25.5" customHeight="1">
      <c r="A262" s="13"/>
      <c r="B262" s="50"/>
      <c r="C262" s="75"/>
      <c r="D262" t="s" s="76">
        <v>528</v>
      </c>
      <c r="E262" s="77"/>
      <c r="F262" s="77"/>
      <c r="G262" s="78"/>
      <c r="H262" s="113"/>
      <c r="I262" s="114"/>
      <c r="J262" s="114"/>
      <c r="K262" s="114"/>
      <c r="L262" s="114"/>
      <c r="M262" s="114"/>
      <c r="N262" s="114"/>
      <c r="O262" s="114"/>
      <c r="P262" s="114"/>
      <c r="Q262" s="114"/>
      <c r="R262" s="114"/>
      <c r="S262" s="114"/>
      <c r="T262" s="115"/>
      <c r="U262" s="104"/>
      <c r="V262" s="47"/>
      <c r="W262" s="12"/>
    </row>
    <row r="263" ht="33.95" customHeight="1">
      <c r="A263" s="13"/>
      <c r="B263" s="50"/>
      <c r="C263" t="s" s="425">
        <v>529</v>
      </c>
      <c r="D263" s="426"/>
      <c r="E263" s="426"/>
      <c r="F263" s="426"/>
      <c r="G263" s="426"/>
      <c r="H263" s="427"/>
      <c r="I263" s="427"/>
      <c r="J263" s="427"/>
      <c r="K263" s="427"/>
      <c r="L263" s="427"/>
      <c r="M263" s="427"/>
      <c r="N263" s="427"/>
      <c r="O263" s="427"/>
      <c r="P263" s="427"/>
      <c r="Q263" s="427"/>
      <c r="R263" s="427"/>
      <c r="S263" s="427"/>
      <c r="T263" s="427"/>
      <c r="U263" s="428"/>
      <c r="V263" s="47"/>
      <c r="W263" s="12"/>
    </row>
    <row r="264" ht="25.5" customHeight="1">
      <c r="A264" s="13"/>
      <c r="B264" s="50"/>
      <c r="C264" s="75"/>
      <c r="D264" s="112"/>
      <c r="E264" t="s" s="411">
        <v>530</v>
      </c>
      <c r="F264" s="112"/>
      <c r="G264" s="112"/>
      <c r="H264" s="112"/>
      <c r="I264" t="s" s="411">
        <v>350</v>
      </c>
      <c r="J264" s="112"/>
      <c r="K264" s="112"/>
      <c r="L264" s="112"/>
      <c r="M264" s="112"/>
      <c r="N264" t="s" s="411">
        <v>531</v>
      </c>
      <c r="O264" s="112"/>
      <c r="P264" s="112"/>
      <c r="Q264" s="112"/>
      <c r="R264" s="112"/>
      <c r="S264" s="112"/>
      <c r="T264" s="112"/>
      <c r="U264" s="117"/>
      <c r="V264" s="47"/>
      <c r="W264" s="12"/>
    </row>
    <row r="265" ht="8" customHeight="1">
      <c r="A265" s="13"/>
      <c r="B265" s="50"/>
      <c r="C265" s="79"/>
      <c r="D265" s="81"/>
      <c r="E265" s="81"/>
      <c r="F265" s="81"/>
      <c r="G265" s="81"/>
      <c r="H265" s="81"/>
      <c r="I265" s="81"/>
      <c r="J265" s="81"/>
      <c r="K265" s="116"/>
      <c r="L265" s="116"/>
      <c r="M265" s="116"/>
      <c r="N265" s="116"/>
      <c r="O265" s="116"/>
      <c r="P265" s="116"/>
      <c r="Q265" s="116"/>
      <c r="R265" s="116"/>
      <c r="S265" s="116"/>
      <c r="T265" s="116"/>
      <c r="U265" s="381"/>
      <c r="V265" s="47"/>
      <c r="W265" s="12"/>
    </row>
    <row r="266" ht="15.75" customHeight="1">
      <c r="A266" s="13"/>
      <c r="B266" s="11"/>
      <c r="C266" s="48"/>
      <c r="D266" s="48"/>
      <c r="E266" s="48"/>
      <c r="F266" s="48"/>
      <c r="G266" s="48"/>
      <c r="H266" s="48"/>
      <c r="I266" s="48"/>
      <c r="J266" s="48"/>
      <c r="K266" s="48"/>
      <c r="L266" s="48"/>
      <c r="M266" s="48"/>
      <c r="N266" s="48"/>
      <c r="O266" s="48"/>
      <c r="P266" s="48"/>
      <c r="Q266" s="48"/>
      <c r="R266" s="48"/>
      <c r="S266" s="48"/>
      <c r="T266" s="48"/>
      <c r="U266" s="48"/>
      <c r="V266" s="11"/>
      <c r="W266" s="12"/>
    </row>
    <row r="267" ht="15.75" customHeight="1">
      <c r="A267" s="13"/>
      <c r="B267" s="11"/>
      <c r="C267" t="s" s="102">
        <v>532</v>
      </c>
      <c r="D267" s="103"/>
      <c r="E267" s="103"/>
      <c r="F267" s="103"/>
      <c r="G267" s="103"/>
      <c r="H267" s="103"/>
      <c r="I267" s="40"/>
      <c r="J267" s="40"/>
      <c r="K267" s="40"/>
      <c r="L267" s="40"/>
      <c r="M267" s="40"/>
      <c r="N267" s="40"/>
      <c r="O267" s="40"/>
      <c r="P267" s="40"/>
      <c r="Q267" s="40"/>
      <c r="R267" s="40"/>
      <c r="S267" s="40"/>
      <c r="T267" s="40"/>
      <c r="U267" s="40"/>
      <c r="V267" s="11"/>
      <c r="W267" s="12"/>
    </row>
    <row r="268" ht="60" customHeight="1">
      <c r="A268" s="13"/>
      <c r="B268" s="50"/>
      <c r="C268" s="85"/>
      <c r="D268" s="86"/>
      <c r="E268" s="86"/>
      <c r="F268" s="86"/>
      <c r="G268" s="86"/>
      <c r="H268" s="86"/>
      <c r="I268" s="86"/>
      <c r="J268" s="86"/>
      <c r="K268" s="86"/>
      <c r="L268" s="86"/>
      <c r="M268" s="86"/>
      <c r="N268" s="86"/>
      <c r="O268" s="86"/>
      <c r="P268" s="86"/>
      <c r="Q268" s="86"/>
      <c r="R268" s="86"/>
      <c r="S268" s="86"/>
      <c r="T268" s="86"/>
      <c r="U268" s="87"/>
      <c r="V268" s="47"/>
      <c r="W268" s="12"/>
    </row>
    <row r="269" ht="15.75" customHeight="1">
      <c r="A269" s="13"/>
      <c r="B269" s="11"/>
      <c r="C269" s="48"/>
      <c r="D269" s="48"/>
      <c r="E269" s="48"/>
      <c r="F269" s="48"/>
      <c r="G269" s="48"/>
      <c r="H269" s="48"/>
      <c r="I269" s="48"/>
      <c r="J269" s="48"/>
      <c r="K269" s="48"/>
      <c r="L269" s="48"/>
      <c r="M269" s="48"/>
      <c r="N269" s="48"/>
      <c r="O269" s="48"/>
      <c r="P269" s="48"/>
      <c r="Q269" s="48"/>
      <c r="R269" s="48"/>
      <c r="S269" s="48"/>
      <c r="T269" s="48"/>
      <c r="U269" s="48"/>
      <c r="V269" s="11"/>
      <c r="W269" s="12"/>
    </row>
    <row r="270" ht="15.75" customHeight="1">
      <c r="A270" t="s" s="95">
        <v>523</v>
      </c>
      <c r="B270" s="96">
        <v>2</v>
      </c>
      <c r="C270" t="s" s="97">
        <f>CONCATENATE(A270,B270)</f>
        <v>533</v>
      </c>
      <c r="D270" t="s" s="41">
        <v>534</v>
      </c>
      <c r="E270" s="42"/>
      <c r="F270" s="42"/>
      <c r="G270" s="42"/>
      <c r="H270" s="42"/>
      <c r="I270" s="42"/>
      <c r="J270" s="42"/>
      <c r="K270" s="42"/>
      <c r="L270" s="11"/>
      <c r="M270" s="11"/>
      <c r="N270" s="11"/>
      <c r="O270" s="11"/>
      <c r="P270" s="11"/>
      <c r="Q270" s="11"/>
      <c r="R270" s="11"/>
      <c r="S270" s="11"/>
      <c r="T270" s="11"/>
      <c r="U270" s="11"/>
      <c r="V270" s="11"/>
      <c r="W270" s="12"/>
    </row>
    <row r="271" ht="15.75" customHeight="1">
      <c r="A271" s="13"/>
      <c r="B271" s="11"/>
      <c r="C271" s="40"/>
      <c r="D271" s="40"/>
      <c r="E271" s="40"/>
      <c r="F271" s="40"/>
      <c r="G271" s="40"/>
      <c r="H271" s="40"/>
      <c r="I271" s="40"/>
      <c r="J271" s="40"/>
      <c r="K271" s="40"/>
      <c r="L271" s="40"/>
      <c r="M271" s="40"/>
      <c r="N271" s="40"/>
      <c r="O271" s="40"/>
      <c r="P271" s="40"/>
      <c r="Q271" s="40"/>
      <c r="R271" s="40"/>
      <c r="S271" s="40"/>
      <c r="T271" s="40"/>
      <c r="U271" s="40"/>
      <c r="V271" s="11"/>
      <c r="W271" s="12"/>
    </row>
    <row r="272" ht="25.5" customHeight="1">
      <c r="A272" s="13"/>
      <c r="B272" s="50"/>
      <c r="C272" s="71"/>
      <c r="D272" t="s" s="72">
        <v>59</v>
      </c>
      <c r="E272" s="73"/>
      <c r="F272" s="73"/>
      <c r="G272" s="73"/>
      <c r="H272" s="73"/>
      <c r="I272" s="73"/>
      <c r="J272" s="73"/>
      <c r="K272" s="69"/>
      <c r="L272" s="69"/>
      <c r="M272" s="69"/>
      <c r="N272" s="69"/>
      <c r="O272" s="69"/>
      <c r="P272" s="69"/>
      <c r="Q272" s="69"/>
      <c r="R272" s="69"/>
      <c r="S272" s="69"/>
      <c r="T272" s="69"/>
      <c r="U272" s="121"/>
      <c r="V272" s="47"/>
      <c r="W272" s="12"/>
    </row>
    <row r="273" ht="60" customHeight="1">
      <c r="A273" s="13"/>
      <c r="B273" s="50"/>
      <c r="C273" s="75"/>
      <c r="D273" t="s" s="405">
        <v>535</v>
      </c>
      <c r="E273" s="406"/>
      <c r="F273" s="406"/>
      <c r="G273" s="406"/>
      <c r="H273" s="406"/>
      <c r="I273" s="406"/>
      <c r="J273" s="407"/>
      <c r="K273" s="105"/>
      <c r="L273" s="106"/>
      <c r="M273" s="106"/>
      <c r="N273" s="106"/>
      <c r="O273" s="106"/>
      <c r="P273" s="106"/>
      <c r="Q273" s="106"/>
      <c r="R273" s="106"/>
      <c r="S273" s="106"/>
      <c r="T273" s="107"/>
      <c r="U273" s="104"/>
      <c r="V273" s="47"/>
      <c r="W273" s="12"/>
    </row>
    <row r="274" ht="9.95" customHeight="1">
      <c r="A274" s="13"/>
      <c r="B274" s="50"/>
      <c r="C274" s="75"/>
      <c r="D274" s="112"/>
      <c r="E274" s="112"/>
      <c r="F274" s="112"/>
      <c r="G274" s="112"/>
      <c r="H274" s="112"/>
      <c r="I274" s="112"/>
      <c r="J274" s="112"/>
      <c r="K274" s="69"/>
      <c r="L274" s="69"/>
      <c r="M274" s="69"/>
      <c r="N274" s="69"/>
      <c r="O274" s="69"/>
      <c r="P274" s="69"/>
      <c r="Q274" s="69"/>
      <c r="R274" s="69"/>
      <c r="S274" s="69"/>
      <c r="T274" s="69"/>
      <c r="U274" s="117"/>
      <c r="V274" s="47"/>
      <c r="W274" s="12"/>
    </row>
    <row r="275" ht="60" customHeight="1">
      <c r="A275" s="13"/>
      <c r="B275" s="50"/>
      <c r="C275" s="75"/>
      <c r="D275" t="s" s="405">
        <v>536</v>
      </c>
      <c r="E275" s="406"/>
      <c r="F275" s="406"/>
      <c r="G275" s="406"/>
      <c r="H275" s="406"/>
      <c r="I275" s="406"/>
      <c r="J275" s="407"/>
      <c r="K275" s="105"/>
      <c r="L275" s="106"/>
      <c r="M275" s="106"/>
      <c r="N275" s="106"/>
      <c r="O275" s="106"/>
      <c r="P275" s="106"/>
      <c r="Q275" s="106"/>
      <c r="R275" s="106"/>
      <c r="S275" s="106"/>
      <c r="T275" s="107"/>
      <c r="U275" s="104"/>
      <c r="V275" s="47"/>
      <c r="W275" s="12"/>
    </row>
    <row r="276" ht="9.95" customHeight="1">
      <c r="A276" s="13"/>
      <c r="B276" s="50"/>
      <c r="C276" s="75"/>
      <c r="D276" s="112"/>
      <c r="E276" s="112"/>
      <c r="F276" s="112"/>
      <c r="G276" s="112"/>
      <c r="H276" s="112"/>
      <c r="I276" s="112"/>
      <c r="J276" s="112"/>
      <c r="K276" s="69"/>
      <c r="L276" s="69"/>
      <c r="M276" s="69"/>
      <c r="N276" s="69"/>
      <c r="O276" s="69"/>
      <c r="P276" s="69"/>
      <c r="Q276" s="69"/>
      <c r="R276" s="69"/>
      <c r="S276" s="69"/>
      <c r="T276" s="69"/>
      <c r="U276" s="117"/>
      <c r="V276" s="47"/>
      <c r="W276" s="12"/>
    </row>
    <row r="277" ht="60" customHeight="1">
      <c r="A277" s="13"/>
      <c r="B277" s="50"/>
      <c r="C277" s="75"/>
      <c r="D277" t="s" s="405">
        <v>537</v>
      </c>
      <c r="E277" s="406"/>
      <c r="F277" s="406"/>
      <c r="G277" s="406"/>
      <c r="H277" s="406"/>
      <c r="I277" s="406"/>
      <c r="J277" s="407"/>
      <c r="K277" s="105"/>
      <c r="L277" s="106"/>
      <c r="M277" s="106"/>
      <c r="N277" s="106"/>
      <c r="O277" s="106"/>
      <c r="P277" s="106"/>
      <c r="Q277" s="106"/>
      <c r="R277" s="106"/>
      <c r="S277" s="106"/>
      <c r="T277" s="107"/>
      <c r="U277" s="104"/>
      <c r="V277" s="47"/>
      <c r="W277" s="12"/>
    </row>
    <row r="278" ht="9.95" customHeight="1">
      <c r="A278" s="13"/>
      <c r="B278" s="50"/>
      <c r="C278" s="75"/>
      <c r="D278" s="112"/>
      <c r="E278" s="112"/>
      <c r="F278" s="112"/>
      <c r="G278" s="112"/>
      <c r="H278" s="112"/>
      <c r="I278" s="112"/>
      <c r="J278" s="112"/>
      <c r="K278" s="69"/>
      <c r="L278" s="69"/>
      <c r="M278" s="69"/>
      <c r="N278" s="69"/>
      <c r="O278" s="69"/>
      <c r="P278" s="69"/>
      <c r="Q278" s="69"/>
      <c r="R278" s="69"/>
      <c r="S278" s="69"/>
      <c r="T278" s="69"/>
      <c r="U278" s="117"/>
      <c r="V278" s="47"/>
      <c r="W278" s="12"/>
    </row>
    <row r="279" ht="60" customHeight="1">
      <c r="A279" s="13"/>
      <c r="B279" s="50"/>
      <c r="C279" s="75"/>
      <c r="D279" t="s" s="405">
        <v>538</v>
      </c>
      <c r="E279" s="406"/>
      <c r="F279" s="406"/>
      <c r="G279" s="406"/>
      <c r="H279" s="406"/>
      <c r="I279" s="406"/>
      <c r="J279" s="407"/>
      <c r="K279" s="105"/>
      <c r="L279" s="106"/>
      <c r="M279" s="106"/>
      <c r="N279" s="106"/>
      <c r="O279" s="106"/>
      <c r="P279" s="106"/>
      <c r="Q279" s="106"/>
      <c r="R279" s="106"/>
      <c r="S279" s="106"/>
      <c r="T279" s="107"/>
      <c r="U279" s="104"/>
      <c r="V279" s="47"/>
      <c r="W279" s="12"/>
    </row>
    <row r="280" ht="9.95" customHeight="1">
      <c r="A280" s="13"/>
      <c r="B280" s="50"/>
      <c r="C280" s="75"/>
      <c r="D280" s="112"/>
      <c r="E280" s="112"/>
      <c r="F280" s="112"/>
      <c r="G280" s="112"/>
      <c r="H280" s="112"/>
      <c r="I280" s="112"/>
      <c r="J280" s="112"/>
      <c r="K280" s="69"/>
      <c r="L280" s="69"/>
      <c r="M280" s="69"/>
      <c r="N280" s="69"/>
      <c r="O280" s="69"/>
      <c r="P280" s="69"/>
      <c r="Q280" s="69"/>
      <c r="R280" s="69"/>
      <c r="S280" s="69"/>
      <c r="T280" s="69"/>
      <c r="U280" s="117"/>
      <c r="V280" s="47"/>
      <c r="W280" s="12"/>
    </row>
    <row r="281" ht="60" customHeight="1">
      <c r="A281" s="13"/>
      <c r="B281" s="50"/>
      <c r="C281" s="75"/>
      <c r="D281" t="s" s="405">
        <v>539</v>
      </c>
      <c r="E281" s="406"/>
      <c r="F281" s="406"/>
      <c r="G281" s="406"/>
      <c r="H281" s="406"/>
      <c r="I281" s="406"/>
      <c r="J281" s="407"/>
      <c r="K281" s="105"/>
      <c r="L281" s="106"/>
      <c r="M281" s="106"/>
      <c r="N281" s="106"/>
      <c r="O281" s="106"/>
      <c r="P281" s="106"/>
      <c r="Q281" s="106"/>
      <c r="R281" s="106"/>
      <c r="S281" s="106"/>
      <c r="T281" s="107"/>
      <c r="U281" s="104"/>
      <c r="V281" s="47"/>
      <c r="W281" s="12"/>
    </row>
    <row r="282" ht="8" customHeight="1">
      <c r="A282" s="13"/>
      <c r="B282" s="50"/>
      <c r="C282" s="79"/>
      <c r="D282" s="116"/>
      <c r="E282" s="116"/>
      <c r="F282" s="116"/>
      <c r="G282" s="116"/>
      <c r="H282" s="116"/>
      <c r="I282" s="116"/>
      <c r="J282" s="116"/>
      <c r="K282" s="69"/>
      <c r="L282" s="69"/>
      <c r="M282" s="69"/>
      <c r="N282" s="69"/>
      <c r="O282" s="69"/>
      <c r="P282" s="69"/>
      <c r="Q282" s="69"/>
      <c r="R282" s="69"/>
      <c r="S282" s="69"/>
      <c r="T282" s="69"/>
      <c r="U282" s="381"/>
      <c r="V282" s="47"/>
      <c r="W282" s="12"/>
    </row>
    <row r="283" ht="15.75" customHeight="1">
      <c r="A283" s="13"/>
      <c r="B283" s="11"/>
      <c r="C283" s="48"/>
      <c r="D283" s="48"/>
      <c r="E283" s="48"/>
      <c r="F283" s="48"/>
      <c r="G283" s="48"/>
      <c r="H283" s="48"/>
      <c r="I283" s="48"/>
      <c r="J283" s="48"/>
      <c r="K283" s="48"/>
      <c r="L283" s="48"/>
      <c r="M283" s="48"/>
      <c r="N283" s="48"/>
      <c r="O283" s="48"/>
      <c r="P283" s="48"/>
      <c r="Q283" s="48"/>
      <c r="R283" s="48"/>
      <c r="S283" s="48"/>
      <c r="T283" s="48"/>
      <c r="U283" s="48"/>
      <c r="V283" s="11"/>
      <c r="W283" s="12"/>
    </row>
    <row r="284" ht="15.75" customHeight="1">
      <c r="A284" t="s" s="95">
        <v>523</v>
      </c>
      <c r="B284" s="96">
        <v>3</v>
      </c>
      <c r="C284" t="s" s="97">
        <f>CONCATENATE(A284,B284)</f>
        <v>540</v>
      </c>
      <c r="D284" t="s" s="41">
        <v>541</v>
      </c>
      <c r="E284" s="42"/>
      <c r="F284" s="42"/>
      <c r="G284" s="42"/>
      <c r="H284" s="42"/>
      <c r="I284" s="42"/>
      <c r="J284" s="11"/>
      <c r="K284" s="11"/>
      <c r="L284" s="11"/>
      <c r="M284" s="11"/>
      <c r="N284" s="11"/>
      <c r="O284" s="11"/>
      <c r="P284" s="11"/>
      <c r="Q284" s="11"/>
      <c r="R284" s="11"/>
      <c r="S284" s="11"/>
      <c r="T284" s="11"/>
      <c r="U284" s="11"/>
      <c r="V284" s="11"/>
      <c r="W284" s="12"/>
    </row>
    <row r="285" ht="15.75" customHeight="1">
      <c r="A285" s="13"/>
      <c r="B285" s="11"/>
      <c r="C285" s="40"/>
      <c r="D285" s="40"/>
      <c r="E285" s="40"/>
      <c r="F285" s="40"/>
      <c r="G285" s="40"/>
      <c r="H285" s="40"/>
      <c r="I285" s="40"/>
      <c r="J285" s="40"/>
      <c r="K285" s="40"/>
      <c r="L285" s="40"/>
      <c r="M285" s="40"/>
      <c r="N285" s="40"/>
      <c r="O285" s="40"/>
      <c r="P285" s="40"/>
      <c r="Q285" s="40"/>
      <c r="R285" s="40"/>
      <c r="S285" s="40"/>
      <c r="T285" s="11"/>
      <c r="U285" s="11"/>
      <c r="V285" s="11"/>
      <c r="W285" s="12"/>
    </row>
    <row r="286" ht="90" customHeight="1">
      <c r="A286" s="13"/>
      <c r="B286" s="50"/>
      <c r="C286" s="85"/>
      <c r="D286" s="86"/>
      <c r="E286" s="86"/>
      <c r="F286" s="86"/>
      <c r="G286" s="86"/>
      <c r="H286" s="86"/>
      <c r="I286" s="86"/>
      <c r="J286" s="86"/>
      <c r="K286" s="86"/>
      <c r="L286" s="86"/>
      <c r="M286" s="86"/>
      <c r="N286" s="86"/>
      <c r="O286" s="86"/>
      <c r="P286" s="86"/>
      <c r="Q286" s="86"/>
      <c r="R286" s="86"/>
      <c r="S286" s="87"/>
      <c r="T286" s="47"/>
      <c r="U286" s="11"/>
      <c r="V286" s="11"/>
      <c r="W286" s="12"/>
    </row>
    <row r="287" ht="15.75" customHeight="1">
      <c r="A287" s="13"/>
      <c r="B287" s="11"/>
      <c r="C287" s="48"/>
      <c r="D287" s="48"/>
      <c r="E287" s="48"/>
      <c r="F287" s="48"/>
      <c r="G287" s="48"/>
      <c r="H287" s="48"/>
      <c r="I287" s="48"/>
      <c r="J287" s="48"/>
      <c r="K287" s="48"/>
      <c r="L287" s="48"/>
      <c r="M287" s="48"/>
      <c r="N287" s="48"/>
      <c r="O287" s="48"/>
      <c r="P287" s="48"/>
      <c r="Q287" s="48"/>
      <c r="R287" s="48"/>
      <c r="S287" s="48"/>
      <c r="T287" s="11"/>
      <c r="U287" s="11"/>
      <c r="V287" s="11"/>
      <c r="W287" s="12"/>
    </row>
    <row r="288" ht="15.75" customHeight="1">
      <c r="A288" t="s" s="95">
        <v>523</v>
      </c>
      <c r="B288" s="96">
        <v>4</v>
      </c>
      <c r="C288" t="s" s="97">
        <f>CONCATENATE(A288,B288)</f>
        <v>542</v>
      </c>
      <c r="D288" t="s" s="41">
        <v>543</v>
      </c>
      <c r="E288" s="42"/>
      <c r="F288" s="42"/>
      <c r="G288" s="42"/>
      <c r="H288" s="42"/>
      <c r="I288" s="42"/>
      <c r="J288" s="42"/>
      <c r="K288" s="11"/>
      <c r="L288" s="11"/>
      <c r="M288" s="11"/>
      <c r="N288" s="11"/>
      <c r="O288" s="11"/>
      <c r="P288" s="11"/>
      <c r="Q288" s="11"/>
      <c r="R288" s="11"/>
      <c r="S288" s="11"/>
      <c r="T288" s="11"/>
      <c r="U288" s="11"/>
      <c r="V288" s="11"/>
      <c r="W288" s="12"/>
    </row>
    <row r="289" ht="15.75" customHeight="1">
      <c r="A289" s="13"/>
      <c r="B289" s="11"/>
      <c r="C289" s="40"/>
      <c r="D289" s="40"/>
      <c r="E289" s="40"/>
      <c r="F289" s="40"/>
      <c r="G289" s="40"/>
      <c r="H289" s="40"/>
      <c r="I289" s="40"/>
      <c r="J289" s="40"/>
      <c r="K289" s="40"/>
      <c r="L289" s="40"/>
      <c r="M289" s="40"/>
      <c r="N289" s="40"/>
      <c r="O289" s="40"/>
      <c r="P289" s="40"/>
      <c r="Q289" s="40"/>
      <c r="R289" s="40"/>
      <c r="S289" s="40"/>
      <c r="T289" s="11"/>
      <c r="U289" s="11"/>
      <c r="V289" s="11"/>
      <c r="W289" s="12"/>
    </row>
    <row r="290" ht="90" customHeight="1">
      <c r="A290" s="13"/>
      <c r="B290" s="50"/>
      <c r="C290" s="85"/>
      <c r="D290" s="86"/>
      <c r="E290" s="86"/>
      <c r="F290" s="86"/>
      <c r="G290" s="86"/>
      <c r="H290" s="86"/>
      <c r="I290" s="86"/>
      <c r="J290" s="86"/>
      <c r="K290" s="86"/>
      <c r="L290" s="86"/>
      <c r="M290" s="86"/>
      <c r="N290" s="86"/>
      <c r="O290" s="86"/>
      <c r="P290" s="86"/>
      <c r="Q290" s="86"/>
      <c r="R290" s="86"/>
      <c r="S290" s="87"/>
      <c r="T290" s="47"/>
      <c r="U290" s="11"/>
      <c r="V290" s="11"/>
      <c r="W290" s="12"/>
    </row>
    <row r="291" ht="15.75" customHeight="1">
      <c r="A291" s="13"/>
      <c r="B291" s="11"/>
      <c r="C291" s="48"/>
      <c r="D291" s="48"/>
      <c r="E291" s="48"/>
      <c r="F291" s="48"/>
      <c r="G291" s="48"/>
      <c r="H291" s="48"/>
      <c r="I291" s="48"/>
      <c r="J291" s="48"/>
      <c r="K291" s="48"/>
      <c r="L291" s="48"/>
      <c r="M291" s="48"/>
      <c r="N291" s="48"/>
      <c r="O291" s="48"/>
      <c r="P291" s="48"/>
      <c r="Q291" s="48"/>
      <c r="R291" s="48"/>
      <c r="S291" s="48"/>
      <c r="T291" s="11"/>
      <c r="U291" s="11"/>
      <c r="V291" s="11"/>
      <c r="W291" s="12"/>
    </row>
    <row r="292" ht="15.75" customHeight="1">
      <c r="A292" t="s" s="95">
        <v>523</v>
      </c>
      <c r="B292" s="96">
        <v>5</v>
      </c>
      <c r="C292" t="s" s="97">
        <f>CONCATENATE(A292,B292)</f>
        <v>544</v>
      </c>
      <c r="D292" t="s" s="41">
        <v>545</v>
      </c>
      <c r="E292" s="42"/>
      <c r="F292" s="42"/>
      <c r="G292" s="42"/>
      <c r="H292" s="42"/>
      <c r="I292" s="11"/>
      <c r="J292" s="11"/>
      <c r="K292" s="11"/>
      <c r="L292" s="11"/>
      <c r="M292" s="11"/>
      <c r="N292" s="11"/>
      <c r="O292" s="11"/>
      <c r="P292" s="11"/>
      <c r="Q292" s="11"/>
      <c r="R292" s="11"/>
      <c r="S292" s="11"/>
      <c r="T292" s="11"/>
      <c r="U292" s="11"/>
      <c r="V292" s="11"/>
      <c r="W292" s="12"/>
    </row>
    <row r="293" ht="15.75" customHeight="1">
      <c r="A293" s="13"/>
      <c r="B293" s="11"/>
      <c r="C293" s="40"/>
      <c r="D293" s="40"/>
      <c r="E293" s="40"/>
      <c r="F293" s="40"/>
      <c r="G293" s="40"/>
      <c r="H293" s="40"/>
      <c r="I293" s="40"/>
      <c r="J293" s="40"/>
      <c r="K293" s="40"/>
      <c r="L293" s="40"/>
      <c r="M293" s="40"/>
      <c r="N293" s="40"/>
      <c r="O293" s="40"/>
      <c r="P293" s="40"/>
      <c r="Q293" s="40"/>
      <c r="R293" s="40"/>
      <c r="S293" s="40"/>
      <c r="T293" s="11"/>
      <c r="U293" s="11"/>
      <c r="V293" s="11"/>
      <c r="W293" s="12"/>
    </row>
    <row r="294" ht="90" customHeight="1">
      <c r="A294" s="13"/>
      <c r="B294" s="50"/>
      <c r="C294" s="85"/>
      <c r="D294" s="86"/>
      <c r="E294" s="86"/>
      <c r="F294" s="86"/>
      <c r="G294" s="86"/>
      <c r="H294" s="86"/>
      <c r="I294" s="86"/>
      <c r="J294" s="86"/>
      <c r="K294" s="86"/>
      <c r="L294" s="86"/>
      <c r="M294" s="86"/>
      <c r="N294" s="86"/>
      <c r="O294" s="86"/>
      <c r="P294" s="86"/>
      <c r="Q294" s="86"/>
      <c r="R294" s="86"/>
      <c r="S294" s="87"/>
      <c r="T294" s="47"/>
      <c r="U294" s="11"/>
      <c r="V294" s="11"/>
      <c r="W294" s="12"/>
    </row>
    <row r="295" ht="15.75" customHeight="1">
      <c r="A295" s="13"/>
      <c r="B295" s="11"/>
      <c r="C295" s="48"/>
      <c r="D295" s="48"/>
      <c r="E295" s="48"/>
      <c r="F295" s="48"/>
      <c r="G295" s="48"/>
      <c r="H295" s="48"/>
      <c r="I295" s="48"/>
      <c r="J295" s="48"/>
      <c r="K295" s="48"/>
      <c r="L295" s="48"/>
      <c r="M295" s="48"/>
      <c r="N295" s="48"/>
      <c r="O295" s="48"/>
      <c r="P295" s="48"/>
      <c r="Q295" s="48"/>
      <c r="R295" s="48"/>
      <c r="S295" s="48"/>
      <c r="T295" s="11"/>
      <c r="U295" s="11"/>
      <c r="V295" s="11"/>
      <c r="W295" s="12"/>
    </row>
    <row r="296" ht="15.75" customHeight="1">
      <c r="A296" t="s" s="95">
        <v>523</v>
      </c>
      <c r="B296" s="96">
        <v>6</v>
      </c>
      <c r="C296" t="s" s="97">
        <f>CONCATENATE(A296,B296)</f>
        <v>546</v>
      </c>
      <c r="D296" t="s" s="41">
        <v>547</v>
      </c>
      <c r="E296" s="42"/>
      <c r="F296" s="42"/>
      <c r="G296" s="42"/>
      <c r="H296" s="42"/>
      <c r="I296" s="42"/>
      <c r="J296" s="42"/>
      <c r="K296" s="42"/>
      <c r="L296" s="42"/>
      <c r="M296" s="42"/>
      <c r="N296" s="42"/>
      <c r="O296" s="42"/>
      <c r="P296" s="42"/>
      <c r="Q296" s="11"/>
      <c r="R296" s="11"/>
      <c r="S296" s="11"/>
      <c r="T296" s="11"/>
      <c r="U296" s="11"/>
      <c r="V296" s="11"/>
      <c r="W296" s="12"/>
    </row>
    <row r="297" ht="15.75" customHeight="1">
      <c r="A297" s="13"/>
      <c r="B297" s="11"/>
      <c r="C297" s="40"/>
      <c r="D297" s="40"/>
      <c r="E297" s="40"/>
      <c r="F297" s="40"/>
      <c r="G297" s="40"/>
      <c r="H297" s="40"/>
      <c r="I297" s="40"/>
      <c r="J297" s="40"/>
      <c r="K297" s="40"/>
      <c r="L297" s="40"/>
      <c r="M297" s="40"/>
      <c r="N297" s="40"/>
      <c r="O297" s="40"/>
      <c r="P297" s="40"/>
      <c r="Q297" s="40"/>
      <c r="R297" s="40"/>
      <c r="S297" s="40"/>
      <c r="T297" s="11"/>
      <c r="U297" s="11"/>
      <c r="V297" s="11"/>
      <c r="W297" s="12"/>
    </row>
    <row r="298" ht="90" customHeight="1">
      <c r="A298" s="13"/>
      <c r="B298" s="50"/>
      <c r="C298" s="85"/>
      <c r="D298" s="86"/>
      <c r="E298" s="86"/>
      <c r="F298" s="86"/>
      <c r="G298" s="86"/>
      <c r="H298" s="86"/>
      <c r="I298" s="86"/>
      <c r="J298" s="86"/>
      <c r="K298" s="86"/>
      <c r="L298" s="86"/>
      <c r="M298" s="86"/>
      <c r="N298" s="86"/>
      <c r="O298" s="86"/>
      <c r="P298" s="86"/>
      <c r="Q298" s="86"/>
      <c r="R298" s="86"/>
      <c r="S298" s="87"/>
      <c r="T298" s="47"/>
      <c r="U298" s="11"/>
      <c r="V298" s="11"/>
      <c r="W298" s="12"/>
    </row>
    <row r="299" ht="15.75" customHeight="1">
      <c r="A299" s="13"/>
      <c r="B299" s="11"/>
      <c r="C299" s="48"/>
      <c r="D299" s="48"/>
      <c r="E299" s="48"/>
      <c r="F299" s="48"/>
      <c r="G299" s="48"/>
      <c r="H299" s="48"/>
      <c r="I299" s="48"/>
      <c r="J299" s="48"/>
      <c r="K299" s="48"/>
      <c r="L299" s="48"/>
      <c r="M299" s="48"/>
      <c r="N299" s="48"/>
      <c r="O299" s="48"/>
      <c r="P299" s="48"/>
      <c r="Q299" s="48"/>
      <c r="R299" s="48"/>
      <c r="S299" s="48"/>
      <c r="T299" s="11"/>
      <c r="U299" s="11"/>
      <c r="V299" s="11"/>
      <c r="W299" s="12"/>
    </row>
    <row r="300" ht="15.75" customHeight="1">
      <c r="A300" t="s" s="95">
        <v>523</v>
      </c>
      <c r="B300" s="96">
        <v>7</v>
      </c>
      <c r="C300" t="s" s="97">
        <f>CONCATENATE(A300,B300)</f>
        <v>548</v>
      </c>
      <c r="D300" t="s" s="41">
        <v>549</v>
      </c>
      <c r="E300" s="42"/>
      <c r="F300" s="42"/>
      <c r="G300" s="42"/>
      <c r="H300" s="42"/>
      <c r="I300" s="11"/>
      <c r="J300" s="11"/>
      <c r="K300" s="11"/>
      <c r="L300" s="11"/>
      <c r="M300" s="11"/>
      <c r="N300" s="11"/>
      <c r="O300" s="11"/>
      <c r="P300" s="11"/>
      <c r="Q300" s="11"/>
      <c r="R300" s="11"/>
      <c r="S300" s="11"/>
      <c r="T300" s="11"/>
      <c r="U300" s="11"/>
      <c r="V300" s="11"/>
      <c r="W300" s="12"/>
    </row>
    <row r="301" ht="15.75" customHeight="1">
      <c r="A301" s="13"/>
      <c r="B301" s="11"/>
      <c r="C301" s="40"/>
      <c r="D301" s="40"/>
      <c r="E301" s="40"/>
      <c r="F301" s="40"/>
      <c r="G301" s="40"/>
      <c r="H301" s="40"/>
      <c r="I301" s="40"/>
      <c r="J301" s="40"/>
      <c r="K301" s="40"/>
      <c r="L301" s="40"/>
      <c r="M301" s="40"/>
      <c r="N301" s="40"/>
      <c r="O301" s="40"/>
      <c r="P301" s="40"/>
      <c r="Q301" s="40"/>
      <c r="R301" s="40"/>
      <c r="S301" s="40"/>
      <c r="T301" s="11"/>
      <c r="U301" s="11"/>
      <c r="V301" s="11"/>
      <c r="W301" s="12"/>
    </row>
    <row r="302" ht="90" customHeight="1">
      <c r="A302" s="13"/>
      <c r="B302" s="50"/>
      <c r="C302" s="85"/>
      <c r="D302" s="86"/>
      <c r="E302" s="86"/>
      <c r="F302" s="86"/>
      <c r="G302" s="86"/>
      <c r="H302" s="86"/>
      <c r="I302" s="86"/>
      <c r="J302" s="86"/>
      <c r="K302" s="86"/>
      <c r="L302" s="86"/>
      <c r="M302" s="86"/>
      <c r="N302" s="86"/>
      <c r="O302" s="86"/>
      <c r="P302" s="86"/>
      <c r="Q302" s="86"/>
      <c r="R302" s="86"/>
      <c r="S302" s="87"/>
      <c r="T302" s="47"/>
      <c r="U302" s="11"/>
      <c r="V302" s="11"/>
      <c r="W302" s="12"/>
    </row>
    <row r="303" ht="15.75" customHeight="1">
      <c r="A303" s="13"/>
      <c r="B303" s="11"/>
      <c r="C303" s="59"/>
      <c r="D303" s="59"/>
      <c r="E303" s="59"/>
      <c r="F303" s="59"/>
      <c r="G303" s="59"/>
      <c r="H303" s="59"/>
      <c r="I303" s="59"/>
      <c r="J303" s="59"/>
      <c r="K303" s="59"/>
      <c r="L303" s="59"/>
      <c r="M303" s="59"/>
      <c r="N303" s="59"/>
      <c r="O303" s="59"/>
      <c r="P303" s="59"/>
      <c r="Q303" s="59"/>
      <c r="R303" s="59"/>
      <c r="S303" s="59"/>
      <c r="T303" s="40"/>
      <c r="U303" s="40"/>
      <c r="V303" s="11"/>
      <c r="W303" s="12"/>
    </row>
    <row r="304" ht="9.95" customHeight="1">
      <c r="A304" s="13"/>
      <c r="B304" s="50"/>
      <c r="C304" s="71"/>
      <c r="D304" s="119"/>
      <c r="E304" s="119"/>
      <c r="F304" s="119"/>
      <c r="G304" s="119"/>
      <c r="H304" s="119"/>
      <c r="I304" s="69"/>
      <c r="J304" s="69"/>
      <c r="K304" s="69"/>
      <c r="L304" s="69"/>
      <c r="M304" s="69"/>
      <c r="N304" s="69"/>
      <c r="O304" s="69"/>
      <c r="P304" s="69"/>
      <c r="Q304" s="69"/>
      <c r="R304" s="69"/>
      <c r="S304" s="69"/>
      <c r="T304" s="69"/>
      <c r="U304" s="121"/>
      <c r="V304" s="47"/>
      <c r="W304" s="12"/>
    </row>
    <row r="305" ht="60" customHeight="1">
      <c r="A305" s="13"/>
      <c r="B305" s="50"/>
      <c r="C305" s="75"/>
      <c r="D305" t="s" s="405">
        <v>550</v>
      </c>
      <c r="E305" s="406"/>
      <c r="F305" s="406"/>
      <c r="G305" s="406"/>
      <c r="H305" s="407"/>
      <c r="I305" s="105"/>
      <c r="J305" s="106"/>
      <c r="K305" s="106"/>
      <c r="L305" s="106"/>
      <c r="M305" s="106"/>
      <c r="N305" s="106"/>
      <c r="O305" s="106"/>
      <c r="P305" s="106"/>
      <c r="Q305" s="106"/>
      <c r="R305" s="106"/>
      <c r="S305" s="106"/>
      <c r="T305" s="107"/>
      <c r="U305" s="104"/>
      <c r="V305" s="47"/>
      <c r="W305" s="12"/>
    </row>
    <row r="306" ht="9.95" customHeight="1">
      <c r="A306" s="13"/>
      <c r="B306" s="50"/>
      <c r="C306" s="75"/>
      <c r="D306" s="112"/>
      <c r="E306" s="112"/>
      <c r="F306" s="112"/>
      <c r="G306" s="112"/>
      <c r="H306" s="112"/>
      <c r="I306" s="69"/>
      <c r="J306" s="69"/>
      <c r="K306" s="69"/>
      <c r="L306" s="69"/>
      <c r="M306" s="69"/>
      <c r="N306" s="69"/>
      <c r="O306" s="69"/>
      <c r="P306" s="69"/>
      <c r="Q306" s="69"/>
      <c r="R306" s="69"/>
      <c r="S306" s="69"/>
      <c r="T306" s="69"/>
      <c r="U306" s="117"/>
      <c r="V306" s="47"/>
      <c r="W306" s="12"/>
    </row>
    <row r="307" ht="60" customHeight="1">
      <c r="A307" s="13"/>
      <c r="B307" s="50"/>
      <c r="C307" s="75"/>
      <c r="D307" t="s" s="405">
        <v>551</v>
      </c>
      <c r="E307" s="406"/>
      <c r="F307" s="406"/>
      <c r="G307" s="406"/>
      <c r="H307" s="407"/>
      <c r="I307" s="105"/>
      <c r="J307" s="106"/>
      <c r="K307" s="106"/>
      <c r="L307" s="106"/>
      <c r="M307" s="106"/>
      <c r="N307" s="106"/>
      <c r="O307" s="106"/>
      <c r="P307" s="106"/>
      <c r="Q307" s="106"/>
      <c r="R307" s="106"/>
      <c r="S307" s="106"/>
      <c r="T307" s="107"/>
      <c r="U307" s="104"/>
      <c r="V307" s="47"/>
      <c r="W307" s="12"/>
    </row>
    <row r="308" ht="8" customHeight="1">
      <c r="A308" s="13"/>
      <c r="B308" s="50"/>
      <c r="C308" s="79"/>
      <c r="D308" s="116"/>
      <c r="E308" s="116"/>
      <c r="F308" s="116"/>
      <c r="G308" s="116"/>
      <c r="H308" s="116"/>
      <c r="I308" s="69"/>
      <c r="J308" s="69"/>
      <c r="K308" s="69"/>
      <c r="L308" s="69"/>
      <c r="M308" s="69"/>
      <c r="N308" s="69"/>
      <c r="O308" s="69"/>
      <c r="P308" s="69"/>
      <c r="Q308" s="69"/>
      <c r="R308" s="69"/>
      <c r="S308" s="69"/>
      <c r="T308" s="69"/>
      <c r="U308" s="381"/>
      <c r="V308" s="47"/>
      <c r="W308" s="12"/>
    </row>
    <row r="309" ht="15.75" customHeight="1">
      <c r="A309" s="13"/>
      <c r="B309" s="11"/>
      <c r="C309" s="48"/>
      <c r="D309" s="48"/>
      <c r="E309" s="48"/>
      <c r="F309" s="48"/>
      <c r="G309" s="48"/>
      <c r="H309" s="48"/>
      <c r="I309" s="48"/>
      <c r="J309" s="48"/>
      <c r="K309" s="48"/>
      <c r="L309" s="48"/>
      <c r="M309" s="48"/>
      <c r="N309" s="48"/>
      <c r="O309" s="48"/>
      <c r="P309" s="48"/>
      <c r="Q309" s="48"/>
      <c r="R309" s="48"/>
      <c r="S309" s="48"/>
      <c r="T309" s="48"/>
      <c r="U309" s="48"/>
      <c r="V309" s="11"/>
      <c r="W309" s="12"/>
    </row>
    <row r="310" ht="15.75" customHeight="1">
      <c r="A310" t="s" s="95">
        <v>523</v>
      </c>
      <c r="B310" s="96">
        <v>8</v>
      </c>
      <c r="C310" t="s" s="97">
        <f>CONCATENATE(A310,B310)</f>
        <v>552</v>
      </c>
      <c r="D310" t="s" s="41">
        <v>496</v>
      </c>
      <c r="E310" s="42"/>
      <c r="F310" s="42"/>
      <c r="G310" s="42"/>
      <c r="H310" s="42"/>
      <c r="I310" s="42"/>
      <c r="J310" s="42"/>
      <c r="K310" s="42"/>
      <c r="L310" s="42"/>
      <c r="M310" s="42"/>
      <c r="N310" s="42"/>
      <c r="O310" s="42"/>
      <c r="P310" s="42"/>
      <c r="Q310" s="42"/>
      <c r="R310" s="42"/>
      <c r="S310" s="11"/>
      <c r="T310" s="11"/>
      <c r="U310" s="11"/>
      <c r="V310" s="11"/>
      <c r="W310" s="12"/>
    </row>
    <row r="311" ht="15.75" customHeight="1">
      <c r="A311" s="13"/>
      <c r="B311" s="11"/>
      <c r="C311" s="40"/>
      <c r="D311" s="40"/>
      <c r="E311" s="40"/>
      <c r="F311" s="40"/>
      <c r="G311" s="40"/>
      <c r="H311" s="40"/>
      <c r="I311" s="40"/>
      <c r="J311" s="40"/>
      <c r="K311" s="40"/>
      <c r="L311" s="40"/>
      <c r="M311" s="40"/>
      <c r="N311" s="40"/>
      <c r="O311" s="40"/>
      <c r="P311" s="40"/>
      <c r="Q311" s="40"/>
      <c r="R311" s="40"/>
      <c r="S311" s="40"/>
      <c r="T311" s="40"/>
      <c r="U311" s="40"/>
      <c r="V311" s="11"/>
      <c r="W311" s="12"/>
    </row>
    <row r="312" ht="33.95" customHeight="1">
      <c r="A312" s="13"/>
      <c r="B312" s="50"/>
      <c r="C312" s="85"/>
      <c r="D312" s="86"/>
      <c r="E312" s="86"/>
      <c r="F312" s="86"/>
      <c r="G312" s="86"/>
      <c r="H312" s="86"/>
      <c r="I312" s="86"/>
      <c r="J312" s="86"/>
      <c r="K312" s="86"/>
      <c r="L312" s="86"/>
      <c r="M312" s="86"/>
      <c r="N312" s="86"/>
      <c r="O312" s="86"/>
      <c r="P312" s="86"/>
      <c r="Q312" s="86"/>
      <c r="R312" s="86"/>
      <c r="S312" s="86"/>
      <c r="T312" s="86"/>
      <c r="U312" s="87"/>
      <c r="V312" s="47"/>
      <c r="W312" s="12"/>
    </row>
    <row r="313" ht="15.75" customHeight="1">
      <c r="A313" s="13"/>
      <c r="B313" s="11"/>
      <c r="C313" s="48"/>
      <c r="D313" s="48"/>
      <c r="E313" s="48"/>
      <c r="F313" s="48"/>
      <c r="G313" s="48"/>
      <c r="H313" s="48"/>
      <c r="I313" s="48"/>
      <c r="J313" s="48"/>
      <c r="K313" s="48"/>
      <c r="L313" s="48"/>
      <c r="M313" s="48"/>
      <c r="N313" s="48"/>
      <c r="O313" s="48"/>
      <c r="P313" s="48"/>
      <c r="Q313" s="48"/>
      <c r="R313" s="48"/>
      <c r="S313" s="48"/>
      <c r="T313" s="48"/>
      <c r="U313" s="48"/>
      <c r="V313" s="11"/>
      <c r="W313" s="12"/>
    </row>
    <row r="314" ht="15.75" customHeight="1">
      <c r="A314" t="s" s="95">
        <v>523</v>
      </c>
      <c r="B314" s="96">
        <v>9</v>
      </c>
      <c r="C314" t="s" s="97">
        <f>CONCATENATE(A314,B314)</f>
        <v>553</v>
      </c>
      <c r="D314" t="s" s="41">
        <v>554</v>
      </c>
      <c r="E314" s="42"/>
      <c r="F314" s="42"/>
      <c r="G314" s="42"/>
      <c r="H314" s="42"/>
      <c r="I314" s="42"/>
      <c r="J314" s="42"/>
      <c r="K314" s="42"/>
      <c r="L314" s="42"/>
      <c r="M314" s="42"/>
      <c r="N314" s="42"/>
      <c r="O314" s="11"/>
      <c r="P314" s="11"/>
      <c r="Q314" s="11"/>
      <c r="R314" s="11"/>
      <c r="S314" s="11"/>
      <c r="T314" s="11"/>
      <c r="U314" s="11"/>
      <c r="V314" s="11"/>
      <c r="W314" s="12"/>
    </row>
    <row r="315" ht="15.75" customHeight="1">
      <c r="A315" s="13"/>
      <c r="B315" s="11"/>
      <c r="C315" s="11"/>
      <c r="D315" s="11"/>
      <c r="E315" s="11"/>
      <c r="F315" s="11"/>
      <c r="G315" s="11"/>
      <c r="H315" s="11"/>
      <c r="I315" s="11"/>
      <c r="J315" s="11"/>
      <c r="K315" s="11"/>
      <c r="L315" s="11"/>
      <c r="M315" s="11"/>
      <c r="N315" s="11"/>
      <c r="O315" s="11"/>
      <c r="P315" s="11"/>
      <c r="Q315" s="11"/>
      <c r="R315" s="11"/>
      <c r="S315" s="11"/>
      <c r="T315" s="11"/>
      <c r="U315" s="11"/>
      <c r="V315" s="11"/>
      <c r="W315" s="12"/>
    </row>
    <row r="316" ht="15.75" customHeight="1">
      <c r="A316" s="13"/>
      <c r="B316" s="11"/>
      <c r="C316" s="11"/>
      <c r="D316" s="11"/>
      <c r="E316" s="11"/>
      <c r="F316" s="11"/>
      <c r="G316" s="11"/>
      <c r="H316" s="11"/>
      <c r="I316" s="11"/>
      <c r="J316" s="11"/>
      <c r="K316" s="11"/>
      <c r="L316" s="11"/>
      <c r="M316" s="11"/>
      <c r="N316" s="11"/>
      <c r="O316" s="11"/>
      <c r="P316" s="11"/>
      <c r="Q316" s="11"/>
      <c r="R316" s="11"/>
      <c r="S316" s="11"/>
      <c r="T316" s="11"/>
      <c r="U316" s="11"/>
      <c r="V316" s="11"/>
      <c r="W316" s="12"/>
    </row>
    <row r="317" ht="15.75" customHeight="1">
      <c r="A317" s="13"/>
      <c r="B317" s="11"/>
      <c r="C317" s="11"/>
      <c r="D317" s="11"/>
      <c r="E317" s="11"/>
      <c r="F317" s="11"/>
      <c r="G317" s="11"/>
      <c r="H317" s="11"/>
      <c r="I317" s="11"/>
      <c r="J317" s="11"/>
      <c r="K317" s="11"/>
      <c r="L317" s="11"/>
      <c r="M317" s="11"/>
      <c r="N317" s="11"/>
      <c r="O317" s="11"/>
      <c r="P317" s="11"/>
      <c r="Q317" s="11"/>
      <c r="R317" s="11"/>
      <c r="S317" s="11"/>
      <c r="T317" s="11"/>
      <c r="U317" s="11"/>
      <c r="V317" s="11"/>
      <c r="W317" s="12"/>
    </row>
    <row r="318" ht="15.75" customHeight="1">
      <c r="A318" t="s" s="95">
        <v>523</v>
      </c>
      <c r="B318" s="96">
        <v>10</v>
      </c>
      <c r="C318" t="s" s="97">
        <f>CONCATENATE(A318,B318)</f>
        <v>555</v>
      </c>
      <c r="D318" t="s" s="41">
        <v>556</v>
      </c>
      <c r="E318" s="42"/>
      <c r="F318" s="42"/>
      <c r="G318" s="42"/>
      <c r="H318" s="42"/>
      <c r="I318" s="11"/>
      <c r="J318" s="11"/>
      <c r="K318" s="11"/>
      <c r="L318" s="11"/>
      <c r="M318" s="11"/>
      <c r="N318" s="11"/>
      <c r="O318" s="11"/>
      <c r="P318" s="11"/>
      <c r="Q318" s="11"/>
      <c r="R318" s="11"/>
      <c r="S318" s="11"/>
      <c r="T318" s="11"/>
      <c r="U318" s="11"/>
      <c r="V318" s="11"/>
      <c r="W318" s="12"/>
    </row>
    <row r="319" ht="15.75" customHeight="1">
      <c r="A319" s="13"/>
      <c r="B319" s="11"/>
      <c r="C319" s="40"/>
      <c r="D319" s="40"/>
      <c r="E319" s="40"/>
      <c r="F319" s="40"/>
      <c r="G319" s="40"/>
      <c r="H319" s="40"/>
      <c r="I319" s="40"/>
      <c r="J319" s="40"/>
      <c r="K319" s="40"/>
      <c r="L319" s="40"/>
      <c r="M319" s="40"/>
      <c r="N319" s="40"/>
      <c r="O319" s="40"/>
      <c r="P319" s="40"/>
      <c r="Q319" s="40"/>
      <c r="R319" s="40"/>
      <c r="S319" s="40"/>
      <c r="T319" s="40"/>
      <c r="U319" s="40"/>
      <c r="V319" s="11"/>
      <c r="W319" s="12"/>
    </row>
    <row r="320" ht="60" customHeight="1">
      <c r="A320" s="13"/>
      <c r="B320" s="50"/>
      <c r="C320" s="85"/>
      <c r="D320" s="86"/>
      <c r="E320" s="86"/>
      <c r="F320" s="86"/>
      <c r="G320" s="86"/>
      <c r="H320" s="86"/>
      <c r="I320" s="86"/>
      <c r="J320" s="86"/>
      <c r="K320" s="86"/>
      <c r="L320" s="86"/>
      <c r="M320" s="86"/>
      <c r="N320" s="86"/>
      <c r="O320" s="86"/>
      <c r="P320" s="86"/>
      <c r="Q320" s="86"/>
      <c r="R320" s="86"/>
      <c r="S320" s="86"/>
      <c r="T320" s="86"/>
      <c r="U320" s="87"/>
      <c r="V320" s="47"/>
      <c r="W320" s="12"/>
    </row>
    <row r="321" ht="15.75" customHeight="1">
      <c r="A321" s="13"/>
      <c r="B321" s="11"/>
      <c r="C321" s="48"/>
      <c r="D321" s="48"/>
      <c r="E321" s="48"/>
      <c r="F321" s="48"/>
      <c r="G321" s="48"/>
      <c r="H321" s="48"/>
      <c r="I321" s="48"/>
      <c r="J321" s="48"/>
      <c r="K321" s="48"/>
      <c r="L321" s="48"/>
      <c r="M321" s="48"/>
      <c r="N321" s="48"/>
      <c r="O321" s="48"/>
      <c r="P321" s="48"/>
      <c r="Q321" s="48"/>
      <c r="R321" s="48"/>
      <c r="S321" s="48"/>
      <c r="T321" s="48"/>
      <c r="U321" s="48"/>
      <c r="V321" s="11"/>
      <c r="W321" s="12"/>
    </row>
    <row r="322" ht="18.75" customHeight="1">
      <c r="A322" s="13"/>
      <c r="B322" s="11"/>
      <c r="C322" t="s" s="422">
        <v>557</v>
      </c>
      <c r="D322" s="423"/>
      <c r="E322" t="s" s="422">
        <v>558</v>
      </c>
      <c r="F322" s="423"/>
      <c r="G322" s="423"/>
      <c r="H322" s="423"/>
      <c r="I322" s="423"/>
      <c r="J322" s="423"/>
      <c r="K322" s="423"/>
      <c r="L322" s="423"/>
      <c r="M322" s="423"/>
      <c r="N322" s="423"/>
      <c r="O322" s="423"/>
      <c r="P322" s="423"/>
      <c r="Q322" s="423"/>
      <c r="R322" s="423"/>
      <c r="S322" s="423"/>
      <c r="T322" s="423"/>
      <c r="U322" s="423"/>
      <c r="V322" s="11"/>
      <c r="W322" s="12"/>
    </row>
    <row r="323" ht="15.75" customHeight="1">
      <c r="A323" s="13"/>
      <c r="B323" s="11"/>
      <c r="C323" s="11"/>
      <c r="D323" s="11"/>
      <c r="E323" s="11"/>
      <c r="F323" s="11"/>
      <c r="G323" s="11"/>
      <c r="H323" s="11"/>
      <c r="I323" s="11"/>
      <c r="J323" s="11"/>
      <c r="K323" s="11"/>
      <c r="L323" s="11"/>
      <c r="M323" s="11"/>
      <c r="N323" s="11"/>
      <c r="O323" s="11"/>
      <c r="P323" s="11"/>
      <c r="Q323" s="11"/>
      <c r="R323" s="11"/>
      <c r="S323" s="11"/>
      <c r="T323" s="11"/>
      <c r="U323" s="11"/>
      <c r="V323" s="11"/>
      <c r="W323" s="12"/>
    </row>
    <row r="324" ht="15.75" customHeight="1">
      <c r="A324" s="13"/>
      <c r="B324" s="11"/>
      <c r="C324" t="s" s="102">
        <v>559</v>
      </c>
      <c r="D324" s="103"/>
      <c r="E324" s="103"/>
      <c r="F324" s="103"/>
      <c r="G324" s="103"/>
      <c r="H324" s="103"/>
      <c r="I324" s="40"/>
      <c r="J324" s="40"/>
      <c r="K324" s="40"/>
      <c r="L324" s="40"/>
      <c r="M324" s="40"/>
      <c r="N324" s="40"/>
      <c r="O324" s="40"/>
      <c r="P324" s="40"/>
      <c r="Q324" s="40"/>
      <c r="R324" s="40"/>
      <c r="S324" s="40"/>
      <c r="T324" s="40"/>
      <c r="U324" s="40"/>
      <c r="V324" s="11"/>
      <c r="W324" s="12"/>
    </row>
    <row r="325" ht="33.95" customHeight="1">
      <c r="A325" s="13"/>
      <c r="B325" s="50"/>
      <c r="C325" s="85"/>
      <c r="D325" s="86"/>
      <c r="E325" s="86"/>
      <c r="F325" s="86"/>
      <c r="G325" s="86"/>
      <c r="H325" s="86"/>
      <c r="I325" s="86"/>
      <c r="J325" s="86"/>
      <c r="K325" s="86"/>
      <c r="L325" s="86"/>
      <c r="M325" s="86"/>
      <c r="N325" s="86"/>
      <c r="O325" s="86"/>
      <c r="P325" s="86"/>
      <c r="Q325" s="86"/>
      <c r="R325" s="86"/>
      <c r="S325" s="86"/>
      <c r="T325" s="86"/>
      <c r="U325" s="87"/>
      <c r="V325" s="47"/>
      <c r="W325" s="12"/>
    </row>
    <row r="326" ht="15.75" customHeight="1">
      <c r="A326" s="13"/>
      <c r="B326" s="11"/>
      <c r="C326" s="48"/>
      <c r="D326" s="48"/>
      <c r="E326" s="48"/>
      <c r="F326" s="48"/>
      <c r="G326" s="48"/>
      <c r="H326" s="48"/>
      <c r="I326" s="48"/>
      <c r="J326" s="59"/>
      <c r="K326" s="59"/>
      <c r="L326" s="59"/>
      <c r="M326" s="48"/>
      <c r="N326" s="48"/>
      <c r="O326" s="48"/>
      <c r="P326" s="48"/>
      <c r="Q326" s="48"/>
      <c r="R326" s="48"/>
      <c r="S326" s="48"/>
      <c r="T326" s="48"/>
      <c r="U326" s="48"/>
      <c r="V326" s="11"/>
      <c r="W326" s="12"/>
    </row>
    <row r="327" ht="15.75" customHeight="1">
      <c r="A327" s="13"/>
      <c r="B327" s="11"/>
      <c r="C327" t="s" s="54">
        <v>560</v>
      </c>
      <c r="D327" s="63"/>
      <c r="E327" s="63"/>
      <c r="F327" s="63"/>
      <c r="G327" s="63"/>
      <c r="H327" s="63"/>
      <c r="I327" s="50"/>
      <c r="J327" s="44"/>
      <c r="K327" s="45"/>
      <c r="L327" s="46"/>
      <c r="M327" s="47"/>
      <c r="N327" s="11"/>
      <c r="O327" s="11"/>
      <c r="P327" s="11"/>
      <c r="Q327" s="11"/>
      <c r="R327" s="11"/>
      <c r="S327" s="11"/>
      <c r="T327" s="11"/>
      <c r="U327" s="11"/>
      <c r="V327" s="11"/>
      <c r="W327" s="12"/>
    </row>
    <row r="328" ht="15.75" customHeight="1">
      <c r="A328" s="13"/>
      <c r="B328" s="11"/>
      <c r="C328" s="11"/>
      <c r="D328" s="11"/>
      <c r="E328" s="11"/>
      <c r="F328" s="11"/>
      <c r="G328" s="11"/>
      <c r="H328" s="11"/>
      <c r="I328" s="11"/>
      <c r="J328" s="48"/>
      <c r="K328" s="48"/>
      <c r="L328" s="48"/>
      <c r="M328" s="11"/>
      <c r="N328" s="11"/>
      <c r="O328" s="11"/>
      <c r="P328" s="11"/>
      <c r="Q328" s="11"/>
      <c r="R328" s="11"/>
      <c r="S328" s="11"/>
      <c r="T328" s="11"/>
      <c r="U328" s="11"/>
      <c r="V328" s="11"/>
      <c r="W328" s="12"/>
    </row>
    <row r="329" ht="15.75" customHeight="1">
      <c r="A329" s="13"/>
      <c r="B329" s="11"/>
      <c r="C329" t="s" s="54">
        <v>561</v>
      </c>
      <c r="D329" s="63"/>
      <c r="E329" s="63"/>
      <c r="F329" s="63"/>
      <c r="G329" s="63"/>
      <c r="H329" s="63"/>
      <c r="I329" s="11"/>
      <c r="J329" s="11"/>
      <c r="K329" s="11"/>
      <c r="L329" s="11"/>
      <c r="M329" s="11"/>
      <c r="N329" s="11"/>
      <c r="O329" s="11"/>
      <c r="P329" s="11"/>
      <c r="Q329" s="11"/>
      <c r="R329" s="11"/>
      <c r="S329" s="11"/>
      <c r="T329" s="11"/>
      <c r="U329" s="11"/>
      <c r="V329" s="11"/>
      <c r="W329" s="12"/>
    </row>
    <row r="330" ht="15.75" customHeight="1">
      <c r="A330" s="13"/>
      <c r="B330" s="11"/>
      <c r="C330" s="11"/>
      <c r="D330" s="11"/>
      <c r="E330" s="40"/>
      <c r="F330" s="40"/>
      <c r="G330" s="40"/>
      <c r="H330" s="40"/>
      <c r="I330" s="40"/>
      <c r="J330" s="40"/>
      <c r="K330" s="40"/>
      <c r="L330" s="11"/>
      <c r="M330" s="11"/>
      <c r="N330" s="11"/>
      <c r="O330" s="40"/>
      <c r="P330" s="40"/>
      <c r="Q330" s="40"/>
      <c r="R330" s="40"/>
      <c r="S330" s="40"/>
      <c r="T330" s="40"/>
      <c r="U330" s="40"/>
      <c r="V330" s="11"/>
      <c r="W330" s="12"/>
    </row>
    <row r="331" ht="20.1" customHeight="1">
      <c r="A331" s="13"/>
      <c r="B331" s="11"/>
      <c r="C331" t="s" s="49">
        <v>15</v>
      </c>
      <c r="D331" s="50"/>
      <c r="E331" s="51"/>
      <c r="F331" s="52"/>
      <c r="G331" s="52"/>
      <c r="H331" s="52"/>
      <c r="I331" s="52"/>
      <c r="J331" s="52"/>
      <c r="K331" s="53"/>
      <c r="L331" s="47"/>
      <c r="M331" t="s" s="49">
        <v>16</v>
      </c>
      <c r="N331" s="50"/>
      <c r="O331" s="51"/>
      <c r="P331" s="52"/>
      <c r="Q331" s="52"/>
      <c r="R331" s="52"/>
      <c r="S331" s="52"/>
      <c r="T331" s="52"/>
      <c r="U331" s="53"/>
      <c r="V331" s="47"/>
      <c r="W331" s="12"/>
    </row>
    <row r="332" ht="15.75" customHeight="1">
      <c r="A332" s="13"/>
      <c r="B332" s="11"/>
      <c r="C332" s="11"/>
      <c r="D332" s="11"/>
      <c r="E332" s="59"/>
      <c r="F332" s="59"/>
      <c r="G332" s="59"/>
      <c r="H332" s="59"/>
      <c r="I332" s="59"/>
      <c r="J332" s="59"/>
      <c r="K332" s="59"/>
      <c r="L332" s="11"/>
      <c r="M332" s="11"/>
      <c r="N332" s="11"/>
      <c r="O332" s="59"/>
      <c r="P332" s="59"/>
      <c r="Q332" s="59"/>
      <c r="R332" s="59"/>
      <c r="S332" s="59"/>
      <c r="T332" s="59"/>
      <c r="U332" s="59"/>
      <c r="V332" s="11"/>
      <c r="W332" s="12"/>
    </row>
    <row r="333" ht="20.1" customHeight="1">
      <c r="A333" s="13"/>
      <c r="B333" s="11"/>
      <c r="C333" t="s" s="49">
        <v>15</v>
      </c>
      <c r="D333" s="50"/>
      <c r="E333" s="51"/>
      <c r="F333" s="52"/>
      <c r="G333" s="52"/>
      <c r="H333" s="52"/>
      <c r="I333" s="52"/>
      <c r="J333" s="52"/>
      <c r="K333" s="53"/>
      <c r="L333" s="47"/>
      <c r="M333" t="s" s="49">
        <v>16</v>
      </c>
      <c r="N333" s="50"/>
      <c r="O333" s="51"/>
      <c r="P333" s="52"/>
      <c r="Q333" s="52"/>
      <c r="R333" s="52"/>
      <c r="S333" s="52"/>
      <c r="T333" s="52"/>
      <c r="U333" s="53"/>
      <c r="V333" s="47"/>
      <c r="W333" s="12"/>
    </row>
    <row r="334" ht="15.75" customHeight="1">
      <c r="A334" s="13"/>
      <c r="B334" s="11"/>
      <c r="C334" s="11"/>
      <c r="D334" s="11"/>
      <c r="E334" s="59"/>
      <c r="F334" s="59"/>
      <c r="G334" s="59"/>
      <c r="H334" s="59"/>
      <c r="I334" s="59"/>
      <c r="J334" s="59"/>
      <c r="K334" s="59"/>
      <c r="L334" s="11"/>
      <c r="M334" s="11"/>
      <c r="N334" s="11"/>
      <c r="O334" s="59"/>
      <c r="P334" s="59"/>
      <c r="Q334" s="59"/>
      <c r="R334" s="59"/>
      <c r="S334" s="59"/>
      <c r="T334" s="59"/>
      <c r="U334" s="59"/>
      <c r="V334" s="11"/>
      <c r="W334" s="12"/>
    </row>
    <row r="335" ht="20.1" customHeight="1">
      <c r="A335" s="173"/>
      <c r="B335" s="223"/>
      <c r="C335" t="s" s="429">
        <v>15</v>
      </c>
      <c r="D335" s="174"/>
      <c r="E335" s="51"/>
      <c r="F335" s="52"/>
      <c r="G335" s="52"/>
      <c r="H335" s="52"/>
      <c r="I335" s="52"/>
      <c r="J335" s="52"/>
      <c r="K335" s="53"/>
      <c r="L335" s="175"/>
      <c r="M335" t="s" s="429">
        <v>16</v>
      </c>
      <c r="N335" s="174"/>
      <c r="O335" s="51"/>
      <c r="P335" s="52"/>
      <c r="Q335" s="52"/>
      <c r="R335" s="52"/>
      <c r="S335" s="52"/>
      <c r="T335" s="52"/>
      <c r="U335" s="53"/>
      <c r="V335" s="175"/>
      <c r="W335" s="176"/>
    </row>
  </sheetData>
  <mergeCells count="275">
    <mergeCell ref="D307:H307"/>
    <mergeCell ref="I307:T307"/>
    <mergeCell ref="C8:U8"/>
    <mergeCell ref="C312:U312"/>
    <mergeCell ref="C320:U320"/>
    <mergeCell ref="C69:I69"/>
    <mergeCell ref="D172:T172"/>
    <mergeCell ref="E176:T176"/>
    <mergeCell ref="E185:T185"/>
    <mergeCell ref="D187:T187"/>
    <mergeCell ref="D189:T189"/>
    <mergeCell ref="E204:T204"/>
    <mergeCell ref="E207:T207"/>
    <mergeCell ref="C211:U211"/>
    <mergeCell ref="C268:U268"/>
    <mergeCell ref="K107:T107"/>
    <mergeCell ref="K109:T109"/>
    <mergeCell ref="K111:T111"/>
    <mergeCell ref="K118:T118"/>
    <mergeCell ref="K120:T120"/>
    <mergeCell ref="K122:T122"/>
    <mergeCell ref="H238:T238"/>
    <mergeCell ref="D240:G240"/>
    <mergeCell ref="K124:T124"/>
    <mergeCell ref="D158:T158"/>
    <mergeCell ref="K90:T90"/>
    <mergeCell ref="K92:T92"/>
    <mergeCell ref="C4:U4"/>
    <mergeCell ref="Q5:S5"/>
    <mergeCell ref="T5:U5"/>
    <mergeCell ref="C6:F6"/>
    <mergeCell ref="G6:H6"/>
    <mergeCell ref="C30:U30"/>
    <mergeCell ref="C63:U63"/>
    <mergeCell ref="C79:U79"/>
    <mergeCell ref="K88:T88"/>
    <mergeCell ref="D43:J43"/>
    <mergeCell ref="D47:J47"/>
    <mergeCell ref="D49:J49"/>
    <mergeCell ref="D51:J51"/>
    <mergeCell ref="D53:J53"/>
    <mergeCell ref="K43:T43"/>
    <mergeCell ref="K47:T47"/>
    <mergeCell ref="K49:T49"/>
    <mergeCell ref="K51:T51"/>
    <mergeCell ref="K53:T53"/>
    <mergeCell ref="D40:U40"/>
    <mergeCell ref="D10:H10"/>
    <mergeCell ref="C12:I12"/>
    <mergeCell ref="D13:L13"/>
    <mergeCell ref="D273:J273"/>
    <mergeCell ref="D275:J275"/>
    <mergeCell ref="D277:J277"/>
    <mergeCell ref="D242:G242"/>
    <mergeCell ref="C243:U243"/>
    <mergeCell ref="D245:J245"/>
    <mergeCell ref="D272:J272"/>
    <mergeCell ref="H240:T240"/>
    <mergeCell ref="D262:G262"/>
    <mergeCell ref="C263:U263"/>
    <mergeCell ref="D265:J265"/>
    <mergeCell ref="D247:U247"/>
    <mergeCell ref="D248:G248"/>
    <mergeCell ref="H248:T248"/>
    <mergeCell ref="D250:G250"/>
    <mergeCell ref="H250:T250"/>
    <mergeCell ref="D252:G252"/>
    <mergeCell ref="C253:U253"/>
    <mergeCell ref="D255:J255"/>
    <mergeCell ref="D257:U257"/>
    <mergeCell ref="D258:G258"/>
    <mergeCell ref="H258:T258"/>
    <mergeCell ref="C286:S286"/>
    <mergeCell ref="C290:S290"/>
    <mergeCell ref="C294:S294"/>
    <mergeCell ref="C298:S298"/>
    <mergeCell ref="C302:S302"/>
    <mergeCell ref="I305:T305"/>
    <mergeCell ref="D292:H292"/>
    <mergeCell ref="D305:H305"/>
    <mergeCell ref="D279:J279"/>
    <mergeCell ref="D281:J281"/>
    <mergeCell ref="E182:U182"/>
    <mergeCell ref="E183:U183"/>
    <mergeCell ref="E184:U184"/>
    <mergeCell ref="C186:U186"/>
    <mergeCell ref="D188:U188"/>
    <mergeCell ref="D260:G260"/>
    <mergeCell ref="H260:T260"/>
    <mergeCell ref="D227:U227"/>
    <mergeCell ref="D228:G228"/>
    <mergeCell ref="H228:T228"/>
    <mergeCell ref="E201:U201"/>
    <mergeCell ref="E200:U200"/>
    <mergeCell ref="E199:U199"/>
    <mergeCell ref="E198:U198"/>
    <mergeCell ref="C210:N210"/>
    <mergeCell ref="C169:U169"/>
    <mergeCell ref="D225:J225"/>
    <mergeCell ref="D217:U217"/>
    <mergeCell ref="C130:U130"/>
    <mergeCell ref="C137:U137"/>
    <mergeCell ref="C142:U142"/>
    <mergeCell ref="D122:J122"/>
    <mergeCell ref="D124:J124"/>
    <mergeCell ref="D147:U147"/>
    <mergeCell ref="D148:U148"/>
    <mergeCell ref="D149:U149"/>
    <mergeCell ref="D128:N128"/>
    <mergeCell ref="D134:K134"/>
    <mergeCell ref="C136:H136"/>
    <mergeCell ref="D170:U170"/>
    <mergeCell ref="D171:U171"/>
    <mergeCell ref="D177:U177"/>
    <mergeCell ref="C164:U164"/>
    <mergeCell ref="C167:U167"/>
    <mergeCell ref="D126:J126"/>
    <mergeCell ref="E178:U178"/>
    <mergeCell ref="E179:U179"/>
    <mergeCell ref="E180:U180"/>
    <mergeCell ref="E181:U181"/>
    <mergeCell ref="E335:K335"/>
    <mergeCell ref="O335:U335"/>
    <mergeCell ref="E333:K333"/>
    <mergeCell ref="O333:U333"/>
    <mergeCell ref="K45:T45"/>
    <mergeCell ref="D45:J45"/>
    <mergeCell ref="D55:J55"/>
    <mergeCell ref="D88:J88"/>
    <mergeCell ref="D90:J90"/>
    <mergeCell ref="D92:J92"/>
    <mergeCell ref="D94:J94"/>
    <mergeCell ref="D96:J96"/>
    <mergeCell ref="D103:J103"/>
    <mergeCell ref="D105:J105"/>
    <mergeCell ref="D107:J107"/>
    <mergeCell ref="E197:U197"/>
    <mergeCell ref="E206:U206"/>
    <mergeCell ref="E205:U205"/>
    <mergeCell ref="E202:U202"/>
    <mergeCell ref="E203:U203"/>
    <mergeCell ref="E196:U196"/>
    <mergeCell ref="E195:U195"/>
    <mergeCell ref="J327:L327"/>
    <mergeCell ref="M73:O73"/>
    <mergeCell ref="E331:K331"/>
    <mergeCell ref="O331:U331"/>
    <mergeCell ref="E322:U322"/>
    <mergeCell ref="D314:N314"/>
    <mergeCell ref="D215:H215"/>
    <mergeCell ref="D270:K270"/>
    <mergeCell ref="D284:I284"/>
    <mergeCell ref="D288:J288"/>
    <mergeCell ref="E213:U213"/>
    <mergeCell ref="C322:D322"/>
    <mergeCell ref="C213:D213"/>
    <mergeCell ref="D230:G230"/>
    <mergeCell ref="H230:T230"/>
    <mergeCell ref="D232:G232"/>
    <mergeCell ref="C233:U233"/>
    <mergeCell ref="D235:J235"/>
    <mergeCell ref="D220:G220"/>
    <mergeCell ref="D218:G218"/>
    <mergeCell ref="D222:G222"/>
    <mergeCell ref="H220:T220"/>
    <mergeCell ref="H218:T218"/>
    <mergeCell ref="C223:U223"/>
    <mergeCell ref="D237:U237"/>
    <mergeCell ref="D238:G238"/>
    <mergeCell ref="D21:K21"/>
    <mergeCell ref="D25:I25"/>
    <mergeCell ref="C32:N32"/>
    <mergeCell ref="D33:N33"/>
    <mergeCell ref="C15:O15"/>
    <mergeCell ref="C19:O19"/>
    <mergeCell ref="C23:O23"/>
    <mergeCell ref="C27:P27"/>
    <mergeCell ref="C29:H29"/>
    <mergeCell ref="D17:Q17"/>
    <mergeCell ref="C35:O35"/>
    <mergeCell ref="C38:U38"/>
    <mergeCell ref="D318:H318"/>
    <mergeCell ref="D100:U100"/>
    <mergeCell ref="D115:U115"/>
    <mergeCell ref="D296:P296"/>
    <mergeCell ref="D300:H300"/>
    <mergeCell ref="D192:U192"/>
    <mergeCell ref="D310:R310"/>
    <mergeCell ref="H222:T222"/>
    <mergeCell ref="H232:T232"/>
    <mergeCell ref="H242:T242"/>
    <mergeCell ref="H252:T252"/>
    <mergeCell ref="H262:T262"/>
    <mergeCell ref="K273:T273"/>
    <mergeCell ref="K275:T275"/>
    <mergeCell ref="K277:T277"/>
    <mergeCell ref="K279:T279"/>
    <mergeCell ref="K281:T281"/>
    <mergeCell ref="D157:U157"/>
    <mergeCell ref="D151:U151"/>
    <mergeCell ref="D152:U152"/>
    <mergeCell ref="D153:U153"/>
    <mergeCell ref="D154:U154"/>
    <mergeCell ref="D111:J111"/>
    <mergeCell ref="D113:J113"/>
    <mergeCell ref="D120:J120"/>
    <mergeCell ref="D150:U150"/>
    <mergeCell ref="D155:U155"/>
    <mergeCell ref="D156:U156"/>
    <mergeCell ref="M70:O70"/>
    <mergeCell ref="P70:R70"/>
    <mergeCell ref="S70:U70"/>
    <mergeCell ref="M71:O71"/>
    <mergeCell ref="P71:R71"/>
    <mergeCell ref="S71:U71"/>
    <mergeCell ref="M72:O72"/>
    <mergeCell ref="P72:R72"/>
    <mergeCell ref="K94:T94"/>
    <mergeCell ref="K96:T96"/>
    <mergeCell ref="K103:T103"/>
    <mergeCell ref="K105:T105"/>
    <mergeCell ref="C81:D81"/>
    <mergeCell ref="E81:U81"/>
    <mergeCell ref="D85:L85"/>
    <mergeCell ref="C70:I70"/>
    <mergeCell ref="C71:I71"/>
    <mergeCell ref="C72:I72"/>
    <mergeCell ref="D109:J109"/>
    <mergeCell ref="M69:O69"/>
    <mergeCell ref="P69:R69"/>
    <mergeCell ref="S69:U69"/>
    <mergeCell ref="C67:U67"/>
    <mergeCell ref="P73:R73"/>
    <mergeCell ref="S73:U73"/>
    <mergeCell ref="J74:L74"/>
    <mergeCell ref="M74:O74"/>
    <mergeCell ref="P74:R74"/>
    <mergeCell ref="S74:U74"/>
    <mergeCell ref="C73:I73"/>
    <mergeCell ref="C74:I74"/>
    <mergeCell ref="J73:L73"/>
    <mergeCell ref="S72:U72"/>
    <mergeCell ref="J76:L76"/>
    <mergeCell ref="M76:O76"/>
    <mergeCell ref="P76:R76"/>
    <mergeCell ref="S76:U76"/>
    <mergeCell ref="J75:L75"/>
    <mergeCell ref="M75:O75"/>
    <mergeCell ref="P75:R75"/>
    <mergeCell ref="S75:U75"/>
    <mergeCell ref="C75:I75"/>
    <mergeCell ref="C325:U325"/>
    <mergeCell ref="C37:H37"/>
    <mergeCell ref="C62:H62"/>
    <mergeCell ref="C78:H78"/>
    <mergeCell ref="C146:L146"/>
    <mergeCell ref="C194:K194"/>
    <mergeCell ref="C267:H267"/>
    <mergeCell ref="C324:H324"/>
    <mergeCell ref="C329:H329"/>
    <mergeCell ref="C327:H327"/>
    <mergeCell ref="C76:I76"/>
    <mergeCell ref="J70:L70"/>
    <mergeCell ref="J71:L71"/>
    <mergeCell ref="J72:L72"/>
    <mergeCell ref="J69:L69"/>
    <mergeCell ref="D118:J118"/>
    <mergeCell ref="C60:O60"/>
    <mergeCell ref="D166:L166"/>
    <mergeCell ref="D161:H161"/>
    <mergeCell ref="D141:H141"/>
    <mergeCell ref="D58:U58"/>
    <mergeCell ref="D65:H65"/>
    <mergeCell ref="C163:U163"/>
    <mergeCell ref="D98:J98"/>
  </mergeCells>
  <dataValidations count="7">
    <dataValidation type="list" allowBlank="1" showInputMessage="1" showErrorMessage="1" sqref="C15">
      <formula1>"selbständig (ohne Begleitung) "</formula1>
    </dataValidation>
    <dataValidation type="list" allowBlank="1" showInputMessage="1" showErrorMessage="1" sqref="C19:O19">
      <formula1>"selbständig (ohne Begleitung) ,nur auf gewohnten Wegen selbständig ,auf allen Wegen nur mit personeller Hilfe möglich ,auch mit personeller Hilfe nicht möglich "</formula1>
    </dataValidation>
    <dataValidation type="list" allowBlank="1" showInputMessage="1" showErrorMessage="1" sqref="C23">
      <formula1>"selbständig (ohne Begleitung) ,nur auf gewohnten Strecken selbständig ,auf allen Strecken nur mit personeller Hilfe möglich ,auch mit personeller Hilfe nicht möglich "</formula1>
    </dataValidation>
    <dataValidation type="list" allowBlank="1" showInputMessage="1" showErrorMessage="1" sqref="C27">
      <formula1>"selbständig ,benötigt nur Hilfe beim Ein-/Aussteigen (Hilfsperson während der Fahrt ist nicht erforderlich) ,benötigt Hilfe (auch) während der Fahrt mit dem PKW/Taxi (zusätzlich zum Fahrer) "</formula1>
    </dataValidation>
    <dataValidation type="list" allowBlank="1" showInputMessage="1" showErrorMessage="1" sqref="C35">
      <formula1>"Teilnahme selbständig möglich ,Teilnahme ist auch mit unterstützender Begleitung nicht möglich "</formula1>
    </dataValidation>
    <dataValidation type="list" allowBlank="1" showInputMessage="1" showErrorMessage="1" sqref="K43:T43 K45:T45 K47:T47 K49:T49 K51:T51 K53:T53">
      <formula1>"Teilnahme ist selbständig möglich,Teilnahme ist auch mit unterstützender Begleitung nicht möglich "</formula1>
    </dataValidation>
    <dataValidation type="list" allowBlank="1" showInputMessage="1" showErrorMessage="1" sqref="C60">
      <formula1>"Teilnahme ist selbständig möglich,Teilnahme ist auch mit unterstützender Begleitung nicht möglich "</formula1>
    </dataValidation>
  </dataValidations>
  <pageMargins left="0.59" right="0.59" top="0.629921" bottom="0.98" header="0.51" footer="0.51"/>
  <pageSetup firstPageNumber="1" fitToHeight="1" fitToWidth="1" scale="74" useFirstPageNumber="0" orientation="portrait" pageOrder="downThenOver"/>
  <drawing r:id="rId1"/>
</worksheet>
</file>

<file path=xl/worksheets/sheet11.xml><?xml version="1.0" encoding="utf-8"?>
<worksheet xmlns:r="http://schemas.openxmlformats.org/officeDocument/2006/relationships" xmlns="http://schemas.openxmlformats.org/spreadsheetml/2006/main">
  <sheetPr>
    <pageSetUpPr fitToPage="1"/>
  </sheetPr>
  <dimension ref="A1:O30"/>
  <sheetViews>
    <sheetView workbookViewId="0" showGridLines="0" defaultGridColor="1"/>
  </sheetViews>
  <sheetFormatPr defaultColWidth="10.6667" defaultRowHeight="15.75" customHeight="1" outlineLevelRow="0" outlineLevelCol="0"/>
  <cols>
    <col min="1" max="15" width="10.6719" style="430" customWidth="1"/>
    <col min="16" max="16384" width="10.6719" style="430" customWidth="1"/>
  </cols>
  <sheetData>
    <row r="1" ht="15.35" customHeight="1">
      <c r="A1" s="431"/>
      <c r="B1" s="432"/>
      <c r="C1" s="432"/>
      <c r="D1" s="432"/>
      <c r="E1" s="432"/>
      <c r="F1" s="432"/>
      <c r="G1" s="432"/>
      <c r="H1" s="432"/>
      <c r="I1" s="432"/>
      <c r="J1" s="432"/>
      <c r="K1" s="432"/>
      <c r="L1" s="432"/>
      <c r="M1" s="432"/>
      <c r="N1" s="432"/>
      <c r="O1" s="433"/>
    </row>
    <row r="2" ht="15.35" customHeight="1">
      <c r="A2" s="434"/>
      <c r="B2" s="435"/>
      <c r="C2" s="435"/>
      <c r="D2" s="435"/>
      <c r="E2" s="435"/>
      <c r="F2" s="435"/>
      <c r="G2" s="435"/>
      <c r="H2" s="435"/>
      <c r="I2" s="435"/>
      <c r="J2" s="435"/>
      <c r="K2" s="435"/>
      <c r="L2" s="435"/>
      <c r="M2" s="435"/>
      <c r="N2" s="435"/>
      <c r="O2" s="436"/>
    </row>
    <row r="3" ht="15.35" customHeight="1">
      <c r="A3" s="434"/>
      <c r="B3" s="435"/>
      <c r="C3" s="435"/>
      <c r="D3" s="435"/>
      <c r="E3" s="435"/>
      <c r="F3" s="435"/>
      <c r="G3" s="435"/>
      <c r="H3" s="435"/>
      <c r="I3" s="435"/>
      <c r="J3" s="435"/>
      <c r="K3" s="435"/>
      <c r="L3" s="435"/>
      <c r="M3" s="435"/>
      <c r="N3" s="435"/>
      <c r="O3" s="436"/>
    </row>
    <row r="4" ht="15.35" customHeight="1">
      <c r="A4" s="434"/>
      <c r="B4" s="435"/>
      <c r="C4" s="435"/>
      <c r="D4" s="435"/>
      <c r="E4" s="435"/>
      <c r="F4" s="435"/>
      <c r="G4" s="435"/>
      <c r="H4" s="435"/>
      <c r="I4" s="435"/>
      <c r="J4" s="435"/>
      <c r="K4" s="435"/>
      <c r="L4" s="435"/>
      <c r="M4" s="435"/>
      <c r="N4" s="435"/>
      <c r="O4" s="436"/>
    </row>
    <row r="5" ht="15.35" customHeight="1">
      <c r="A5" s="434"/>
      <c r="B5" s="435"/>
      <c r="C5" s="435"/>
      <c r="D5" s="435"/>
      <c r="E5" s="435"/>
      <c r="F5" s="435"/>
      <c r="G5" s="435"/>
      <c r="H5" s="435"/>
      <c r="I5" s="435"/>
      <c r="J5" s="435"/>
      <c r="K5" s="435"/>
      <c r="L5" s="435"/>
      <c r="M5" s="435"/>
      <c r="N5" s="435"/>
      <c r="O5" s="436"/>
    </row>
    <row r="6" ht="15.35" customHeight="1">
      <c r="A6" s="434"/>
      <c r="B6" s="435"/>
      <c r="C6" s="435"/>
      <c r="D6" s="435"/>
      <c r="E6" s="435"/>
      <c r="F6" s="435"/>
      <c r="G6" s="435"/>
      <c r="H6" s="435"/>
      <c r="I6" s="435"/>
      <c r="J6" s="435"/>
      <c r="K6" s="435"/>
      <c r="L6" s="435"/>
      <c r="M6" s="435"/>
      <c r="N6" s="435"/>
      <c r="O6" s="436"/>
    </row>
    <row r="7" ht="15.35" customHeight="1">
      <c r="A7" s="434"/>
      <c r="B7" s="435"/>
      <c r="C7" s="435"/>
      <c r="D7" s="435"/>
      <c r="E7" s="435"/>
      <c r="F7" s="435"/>
      <c r="G7" s="435"/>
      <c r="H7" s="435"/>
      <c r="I7" s="435"/>
      <c r="J7" s="435"/>
      <c r="K7" s="435"/>
      <c r="L7" s="435"/>
      <c r="M7" s="435"/>
      <c r="N7" s="435"/>
      <c r="O7" s="436"/>
    </row>
    <row r="8" ht="15.35" customHeight="1">
      <c r="A8" s="434"/>
      <c r="B8" s="435"/>
      <c r="C8" s="435"/>
      <c r="D8" s="435"/>
      <c r="E8" s="435"/>
      <c r="F8" s="435"/>
      <c r="G8" s="435"/>
      <c r="H8" s="435"/>
      <c r="I8" s="435"/>
      <c r="J8" s="435"/>
      <c r="K8" s="435"/>
      <c r="L8" s="435"/>
      <c r="M8" s="435"/>
      <c r="N8" s="435"/>
      <c r="O8" s="436"/>
    </row>
    <row r="9" ht="15.35" customHeight="1">
      <c r="A9" s="434"/>
      <c r="B9" s="435"/>
      <c r="C9" s="435"/>
      <c r="D9" s="435"/>
      <c r="E9" s="435"/>
      <c r="F9" s="435"/>
      <c r="G9" s="435"/>
      <c r="H9" s="435"/>
      <c r="I9" s="435"/>
      <c r="J9" s="435"/>
      <c r="K9" s="435"/>
      <c r="L9" s="435"/>
      <c r="M9" s="435"/>
      <c r="N9" s="435"/>
      <c r="O9" s="436"/>
    </row>
    <row r="10" ht="15.75" customHeight="1">
      <c r="A10" t="s" s="437">
        <v>25</v>
      </c>
      <c r="B10" t="s" s="438">
        <v>27</v>
      </c>
      <c r="C10" t="s" s="438">
        <v>48</v>
      </c>
      <c r="D10" t="s" s="438">
        <v>49</v>
      </c>
      <c r="E10" t="s" s="439">
        <v>67</v>
      </c>
      <c r="F10" t="s" s="439">
        <v>86</v>
      </c>
      <c r="G10" t="s" s="439">
        <v>87</v>
      </c>
      <c r="H10" t="s" s="438">
        <v>399</v>
      </c>
      <c r="I10" t="s" s="439">
        <v>401</v>
      </c>
      <c r="J10" t="s" s="438">
        <v>403</v>
      </c>
      <c r="K10" t="s" s="438">
        <v>405</v>
      </c>
      <c r="L10" t="s" s="438">
        <v>563</v>
      </c>
      <c r="M10" t="s" s="438">
        <v>409</v>
      </c>
      <c r="N10" t="s" s="438">
        <v>564</v>
      </c>
      <c r="O10" s="436"/>
    </row>
    <row r="11" ht="15.35" customHeight="1">
      <c r="A11" t="s" s="440">
        <v>565</v>
      </c>
      <c r="B11" t="s" s="441">
        <v>566</v>
      </c>
      <c r="C11" t="s" s="441">
        <v>567</v>
      </c>
      <c r="D11" t="s" s="441">
        <v>568</v>
      </c>
      <c r="E11" t="s" s="441">
        <v>350</v>
      </c>
      <c r="F11" t="s" s="441">
        <v>350</v>
      </c>
      <c r="G11" t="s" s="441">
        <v>569</v>
      </c>
      <c r="H11" t="s" s="441">
        <v>570</v>
      </c>
      <c r="I11" t="s" s="441">
        <v>570</v>
      </c>
      <c r="J11" t="s" s="441">
        <v>570</v>
      </c>
      <c r="K11" t="s" s="441">
        <v>571</v>
      </c>
      <c r="L11" t="s" s="441">
        <v>572</v>
      </c>
      <c r="M11" t="s" s="441">
        <v>573</v>
      </c>
      <c r="N11" t="s" s="441">
        <v>574</v>
      </c>
      <c r="O11" s="436"/>
    </row>
    <row r="12" ht="15.35" customHeight="1">
      <c r="A12" t="s" s="440">
        <v>575</v>
      </c>
      <c r="B12" t="s" s="441">
        <v>576</v>
      </c>
      <c r="C12" t="s" s="441">
        <v>577</v>
      </c>
      <c r="D12" t="s" s="441">
        <v>578</v>
      </c>
      <c r="E12" t="s" s="441">
        <v>579</v>
      </c>
      <c r="F12" t="s" s="441">
        <v>580</v>
      </c>
      <c r="G12" t="s" s="441">
        <v>581</v>
      </c>
      <c r="H12" t="s" s="441">
        <v>582</v>
      </c>
      <c r="I12" t="s" s="441">
        <v>583</v>
      </c>
      <c r="J12" t="s" s="441">
        <v>584</v>
      </c>
      <c r="K12" t="s" s="441">
        <v>585</v>
      </c>
      <c r="L12" t="s" s="441">
        <v>586</v>
      </c>
      <c r="M12" t="s" s="441">
        <v>587</v>
      </c>
      <c r="N12" t="s" s="441">
        <v>586</v>
      </c>
      <c r="O12" s="436"/>
    </row>
    <row r="13" ht="15.35" customHeight="1">
      <c r="A13" t="s" s="440">
        <v>588</v>
      </c>
      <c r="B13" t="s" s="441">
        <v>589</v>
      </c>
      <c r="C13" t="s" s="441">
        <v>590</v>
      </c>
      <c r="D13" t="s" s="441">
        <v>591</v>
      </c>
      <c r="E13" t="s" s="441">
        <v>592</v>
      </c>
      <c r="F13" t="s" s="441">
        <v>593</v>
      </c>
      <c r="G13" t="s" s="441">
        <v>594</v>
      </c>
      <c r="H13" t="s" s="441">
        <v>595</v>
      </c>
      <c r="I13" t="s" s="441">
        <v>596</v>
      </c>
      <c r="J13" t="s" s="441">
        <v>597</v>
      </c>
      <c r="K13" t="s" s="441">
        <v>598</v>
      </c>
      <c r="L13" t="s" s="441">
        <v>599</v>
      </c>
      <c r="M13" t="s" s="441">
        <v>600</v>
      </c>
      <c r="N13" t="s" s="441">
        <v>599</v>
      </c>
      <c r="O13" s="436"/>
    </row>
    <row r="14" ht="15.35" customHeight="1">
      <c r="A14" t="s" s="440">
        <v>601</v>
      </c>
      <c r="B14" t="s" s="441">
        <v>602</v>
      </c>
      <c r="C14" t="s" s="441">
        <v>603</v>
      </c>
      <c r="D14" t="s" s="441">
        <v>604</v>
      </c>
      <c r="E14" s="435"/>
      <c r="F14" t="s" s="441">
        <v>605</v>
      </c>
      <c r="G14" t="s" s="441">
        <v>606</v>
      </c>
      <c r="H14" t="s" s="441">
        <v>607</v>
      </c>
      <c r="I14" t="s" s="441">
        <v>608</v>
      </c>
      <c r="J14" t="s" s="441">
        <v>608</v>
      </c>
      <c r="K14" t="s" s="441">
        <v>609</v>
      </c>
      <c r="L14" s="435"/>
      <c r="M14" s="435"/>
      <c r="N14" s="435"/>
      <c r="O14" s="436"/>
    </row>
    <row r="15" ht="15.35" customHeight="1">
      <c r="A15" t="s" s="440">
        <v>610</v>
      </c>
      <c r="B15" t="s" s="441">
        <v>611</v>
      </c>
      <c r="C15" s="435"/>
      <c r="D15" t="s" s="441">
        <v>612</v>
      </c>
      <c r="E15" s="435"/>
      <c r="F15" s="435"/>
      <c r="G15" s="435"/>
      <c r="H15" s="435"/>
      <c r="I15" s="435"/>
      <c r="J15" s="435"/>
      <c r="K15" s="435"/>
      <c r="L15" s="435"/>
      <c r="M15" s="435"/>
      <c r="N15" s="435"/>
      <c r="O15" s="436"/>
    </row>
    <row r="16" ht="15.35" customHeight="1">
      <c r="A16" t="s" s="440">
        <v>613</v>
      </c>
      <c r="B16" t="s" s="441">
        <v>614</v>
      </c>
      <c r="C16" s="435"/>
      <c r="D16" t="s" s="441">
        <v>615</v>
      </c>
      <c r="E16" s="435"/>
      <c r="F16" s="435"/>
      <c r="G16" s="435"/>
      <c r="H16" s="435"/>
      <c r="I16" s="435"/>
      <c r="J16" s="435"/>
      <c r="K16" s="435"/>
      <c r="L16" s="435"/>
      <c r="M16" s="435"/>
      <c r="N16" s="435"/>
      <c r="O16" s="436"/>
    </row>
    <row r="17" ht="15.35" customHeight="1">
      <c r="A17" t="s" s="440">
        <v>616</v>
      </c>
      <c r="B17" s="435"/>
      <c r="C17" s="435"/>
      <c r="D17" t="s" s="441">
        <v>617</v>
      </c>
      <c r="E17" s="435"/>
      <c r="F17" s="435"/>
      <c r="G17" s="435"/>
      <c r="H17" s="435"/>
      <c r="I17" s="435"/>
      <c r="J17" s="435"/>
      <c r="K17" s="435"/>
      <c r="L17" s="435"/>
      <c r="M17" s="435"/>
      <c r="N17" s="435"/>
      <c r="O17" s="436"/>
    </row>
    <row r="18" ht="15.35" customHeight="1">
      <c r="A18" t="s" s="440">
        <v>618</v>
      </c>
      <c r="B18" s="435"/>
      <c r="C18" s="435"/>
      <c r="D18" t="s" s="441">
        <v>619</v>
      </c>
      <c r="E18" s="435"/>
      <c r="F18" s="435"/>
      <c r="G18" s="435"/>
      <c r="H18" s="442"/>
      <c r="I18" s="442"/>
      <c r="J18" s="442"/>
      <c r="K18" s="442"/>
      <c r="L18" s="442"/>
      <c r="M18" s="442"/>
      <c r="N18" s="442"/>
      <c r="O18" s="443"/>
    </row>
    <row r="19" ht="15.35" customHeight="1">
      <c r="A19" s="434"/>
      <c r="B19" s="435"/>
      <c r="C19" s="435"/>
      <c r="D19" t="s" s="441">
        <v>620</v>
      </c>
      <c r="E19" s="435"/>
      <c r="F19" s="435"/>
      <c r="G19" s="435"/>
      <c r="H19" s="11"/>
      <c r="I19" s="11"/>
      <c r="J19" s="11"/>
      <c r="K19" s="11"/>
      <c r="L19" s="11"/>
      <c r="M19" s="11"/>
      <c r="N19" s="11"/>
      <c r="O19" s="12"/>
    </row>
    <row r="20" ht="15.35" customHeight="1">
      <c r="A20" s="434"/>
      <c r="B20" s="435"/>
      <c r="C20" s="435"/>
      <c r="D20" s="435"/>
      <c r="E20" s="435"/>
      <c r="F20" s="435"/>
      <c r="G20" s="435"/>
      <c r="H20" s="11"/>
      <c r="I20" s="11"/>
      <c r="J20" s="11"/>
      <c r="K20" s="11"/>
      <c r="L20" s="11"/>
      <c r="M20" s="11"/>
      <c r="N20" s="11"/>
      <c r="O20" s="12"/>
    </row>
    <row r="21" ht="15.35" customHeight="1">
      <c r="A21" s="434"/>
      <c r="B21" s="435"/>
      <c r="C21" s="435"/>
      <c r="D21" s="435"/>
      <c r="E21" s="435"/>
      <c r="F21" s="435"/>
      <c r="G21" s="435"/>
      <c r="H21" s="11"/>
      <c r="I21" s="11"/>
      <c r="J21" s="11"/>
      <c r="K21" s="11"/>
      <c r="L21" s="11"/>
      <c r="M21" s="11"/>
      <c r="N21" s="11"/>
      <c r="O21" s="12"/>
    </row>
    <row r="22" ht="15.35" customHeight="1">
      <c r="A22" s="434"/>
      <c r="B22" s="435"/>
      <c r="C22" s="435"/>
      <c r="D22" s="435"/>
      <c r="E22" s="435"/>
      <c r="F22" s="435"/>
      <c r="G22" s="435"/>
      <c r="H22" s="11"/>
      <c r="I22" s="11"/>
      <c r="J22" s="11"/>
      <c r="K22" s="11"/>
      <c r="L22" s="11"/>
      <c r="M22" s="11"/>
      <c r="N22" s="11"/>
      <c r="O22" s="12"/>
    </row>
    <row r="23" ht="15.35" customHeight="1">
      <c r="A23" s="434"/>
      <c r="B23" s="435"/>
      <c r="C23" s="435"/>
      <c r="D23" s="435"/>
      <c r="E23" s="435"/>
      <c r="F23" s="435"/>
      <c r="G23" s="435"/>
      <c r="H23" s="435"/>
      <c r="I23" s="435"/>
      <c r="J23" s="435"/>
      <c r="K23" s="435"/>
      <c r="L23" s="435"/>
      <c r="M23" s="435"/>
      <c r="N23" s="435"/>
      <c r="O23" s="436"/>
    </row>
    <row r="24" ht="15.35" customHeight="1">
      <c r="A24" s="434"/>
      <c r="B24" s="435"/>
      <c r="C24" s="435"/>
      <c r="D24" s="435"/>
      <c r="E24" s="435"/>
      <c r="F24" s="435"/>
      <c r="G24" s="435"/>
      <c r="H24" s="435"/>
      <c r="I24" s="435"/>
      <c r="J24" s="435"/>
      <c r="K24" s="435"/>
      <c r="L24" s="435"/>
      <c r="M24" s="435"/>
      <c r="N24" s="435"/>
      <c r="O24" s="436"/>
    </row>
    <row r="25" ht="15.35" customHeight="1">
      <c r="A25" s="434"/>
      <c r="B25" s="435"/>
      <c r="C25" s="435"/>
      <c r="D25" s="435"/>
      <c r="E25" s="435"/>
      <c r="F25" s="435"/>
      <c r="G25" s="435"/>
      <c r="H25" s="435"/>
      <c r="I25" s="435"/>
      <c r="J25" s="435"/>
      <c r="K25" s="435"/>
      <c r="L25" s="435"/>
      <c r="M25" s="435"/>
      <c r="N25" s="435"/>
      <c r="O25" s="436"/>
    </row>
    <row r="26" ht="15.35" customHeight="1">
      <c r="A26" s="434"/>
      <c r="B26" s="435"/>
      <c r="C26" s="435"/>
      <c r="D26" s="435"/>
      <c r="E26" s="435"/>
      <c r="F26" s="435"/>
      <c r="G26" s="435"/>
      <c r="H26" s="442"/>
      <c r="I26" s="442"/>
      <c r="J26" s="442"/>
      <c r="K26" s="442"/>
      <c r="L26" s="442"/>
      <c r="M26" s="442"/>
      <c r="N26" s="435"/>
      <c r="O26" s="436"/>
    </row>
    <row r="27" ht="15.35" customHeight="1">
      <c r="A27" s="434"/>
      <c r="B27" s="435"/>
      <c r="C27" s="435"/>
      <c r="D27" s="435"/>
      <c r="E27" s="435"/>
      <c r="F27" s="435"/>
      <c r="G27" s="435"/>
      <c r="H27" s="11"/>
      <c r="I27" s="11"/>
      <c r="J27" s="11"/>
      <c r="K27" s="11"/>
      <c r="L27" s="11"/>
      <c r="M27" s="11"/>
      <c r="N27" s="435"/>
      <c r="O27" s="436"/>
    </row>
    <row r="28" ht="15.35" customHeight="1">
      <c r="A28" s="434"/>
      <c r="B28" s="435"/>
      <c r="C28" s="435"/>
      <c r="D28" s="435"/>
      <c r="E28" s="435"/>
      <c r="F28" s="435"/>
      <c r="G28" s="435"/>
      <c r="H28" s="11"/>
      <c r="I28" s="11"/>
      <c r="J28" s="11"/>
      <c r="K28" s="11"/>
      <c r="L28" s="11"/>
      <c r="M28" s="11"/>
      <c r="N28" s="435"/>
      <c r="O28" s="436"/>
    </row>
    <row r="29" ht="15.35" customHeight="1">
      <c r="A29" s="434"/>
      <c r="B29" s="435"/>
      <c r="C29" s="435"/>
      <c r="D29" s="435"/>
      <c r="E29" s="435"/>
      <c r="F29" s="435"/>
      <c r="G29" s="435"/>
      <c r="H29" s="11"/>
      <c r="I29" s="11"/>
      <c r="J29" s="11"/>
      <c r="K29" s="11"/>
      <c r="L29" s="11"/>
      <c r="M29" s="11"/>
      <c r="N29" s="435"/>
      <c r="O29" s="436"/>
    </row>
    <row r="30" ht="15.35" customHeight="1">
      <c r="A30" s="444"/>
      <c r="B30" s="445"/>
      <c r="C30" s="445"/>
      <c r="D30" s="445"/>
      <c r="E30" s="445"/>
      <c r="F30" s="445"/>
      <c r="G30" s="445"/>
      <c r="H30" s="223"/>
      <c r="I30" s="223"/>
      <c r="J30" s="223"/>
      <c r="K30" s="223"/>
      <c r="L30" s="223"/>
      <c r="M30" s="223"/>
      <c r="N30" s="445"/>
      <c r="O30" s="446"/>
    </row>
  </sheetData>
  <pageMargins left="0.7" right="0.7" top="0.787402" bottom="0.787402"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